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0df9d101f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625484713b4550"/>
    <x:sheet xmlns:r="http://schemas.openxmlformats.org/officeDocument/2006/relationships" name="Stock" sheetId="2" r:id="R43c4b1f5a95147b4"/>
    <x:sheet xmlns:r="http://schemas.openxmlformats.org/officeDocument/2006/relationships" name="Products" sheetId="3" r:id="R4a5017e446ab4310"/>
    <x:sheet xmlns:r="http://schemas.openxmlformats.org/officeDocument/2006/relationships" name="Transactions" sheetId="4" r:id="R072c694065864692"/>
    <x:sheet xmlns:r="http://schemas.openxmlformats.org/officeDocument/2006/relationships" name="Start Here" sheetId="5" r:id="Rbff57fd6e508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₹&quot; #,##0.00"/>
    <x:numFmt numFmtId="201" formatCode="dd-mmm-yyyy"/>
    <x:numFmt numFmtId="202" formatCode="0.0%"/>
    <x:numFmt numFmtId="203" formatCode="mmm-yyyy"/>
    <x:numFmt numFmtId="204" formatCode="&quot;₹&quot; #,##0"/>
    <x:numFmt numFmtId="205" formatCode="#,##0"/>
    <x:numFmt numFmtId="206" formatCode="0"/>
  </x:numFmts>
  <x:fonts count="23">
    <x:font>
      <x:sz val="11"/>
      <x:name val="Carlito"/>
    </x:font>
    <x:font>
      <x:sz val="10"/>
      <x:color rgb="FF243447"/>
      <x:name val="Arial"/>
    </x:font>
    <x:font>
      <x:b/>
      <x:sz val="16"/>
      <x:color rgb="FF24344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b/>
      <x:sz val="16"/>
      <x:color rgb="FFFFFFFF"/>
      <x:name val="Arial"/>
    </x:font>
    <x:font>
      <x:sz val="10"/>
      <x:color rgb="FFD9E5EC"/>
      <x:name val="Arial"/>
    </x:font>
    <x:font>
      <x:sz val="10"/>
      <x:color rgb="FF172B3A"/>
      <x:name val="Arial"/>
    </x:font>
    <x:font>
      <x:b/>
      <x:sz val="20"/>
      <x:color rgb="FF172B3A"/>
      <x:name val="Arial"/>
    </x:font>
    <x:font>
      <x:sz val="10"/>
      <x:color rgb="FF657784"/>
      <x:name val="Arial"/>
    </x:font>
    <x:font>
      <x:b/>
      <x:sz val="10"/>
      <x:color rgb="FF172B3A"/>
      <x:name val="Arial"/>
    </x:font>
    <x:font>
      <x:b/>
      <x:sz val="14"/>
      <x:color rgb="FF167D8D"/>
      <x:name val="Arial"/>
    </x:font>
    <x:font>
      <x:b/>
      <x:sz val="10"/>
      <x:color rgb="FF167D8D"/>
      <x:name val="Arial"/>
    </x:font>
    <x:font>
      <x:b/>
      <x:sz val="26"/>
      <x:color rgb="FFFFFFFF"/>
      <x:name val="Arial"/>
    </x:font>
    <x:font>
      <x:sz val="11"/>
      <x:color rgb="FFC8C0E0"/>
      <x:name val="Arial"/>
    </x:font>
    <x:font>
      <x:sz val="10"/>
      <x:color rgb="FFFFFFFF"/>
      <x:name val="Arial"/>
    </x:font>
    <x:font>
      <x:b/>
      <x:sz val="10"/>
      <x:color rgb="FF17142B"/>
      <x:name val="Arial"/>
    </x:font>
    <x:font>
      <x:b/>
      <x:sz val="10"/>
      <x:color rgb="FFEDE8FF"/>
      <x:name val="Arial"/>
    </x:font>
    <x:font>
      <x:b/>
      <x:sz val="25"/>
      <x:color rgb="FFFFFFFF"/>
      <x:name val="Arial"/>
    </x:font>
    <x:font>
      <x:b/>
      <x:sz val="16"/>
      <x:color rgb="FF7050E8"/>
      <x:name val="Arial"/>
    </x:font>
    <x:font>
      <x:b/>
      <x:sz val="16"/>
      <x:color rgb="FF167D8D"/>
      <x:name val="Arial"/>
    </x:font>
    <x:font>
      <x:sz val="10"/>
      <x:color rgb="FF756B8A"/>
      <x:name val="Arial"/>
    </x:font>
    <x:font>
      <x:b/>
      <x:sz val="10"/>
      <x:color rgb="FF7050E8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FF4CE"/>
      </x:patternFill>
    </x:fill>
    <x:fill>
      <x:patternFill patternType="solid">
        <x:fgColor rgb="FF172B3A"/>
      </x:patternFill>
    </x:fill>
    <x:fill>
      <x:patternFill patternType="solid">
        <x:fgColor rgb="FF167D8D"/>
      </x:patternFill>
    </x:fill>
    <x:fill>
      <x:patternFill patternType="solid">
        <x:fgColor rgb="FFFFFFFF"/>
      </x:patternFill>
    </x:fill>
    <x:fill>
      <x:patternFill patternType="solid">
        <x:fgColor rgb="FFF0F4F7"/>
      </x:patternFill>
    </x:fill>
    <x:fill>
      <x:patternFill patternType="solid">
        <x:fgColor rgb="FFFFF6E6"/>
      </x:patternFill>
    </x:fill>
    <x:fill>
      <x:patternFill patternType="solid">
        <x:fgColor rgb="FFF3F5F7"/>
      </x:patternFill>
    </x:fill>
    <x:fill>
      <x:patternFill patternType="solid">
        <x:fgColor rgb="FFFFE7BB"/>
      </x:patternFill>
    </x:fill>
    <x:fill>
      <x:patternFill patternType="solid">
        <x:fgColor rgb="FFB77B37"/>
      </x:patternFill>
    </x:fill>
    <x:fill>
      <x:patternFill patternType="solid">
        <x:fgColor rgb="FFF5F8FA"/>
      </x:patternFill>
    </x:fill>
    <x:fill>
      <x:patternFill patternType="solid">
        <x:fgColor rgb="FFE7F0F3"/>
      </x:patternFill>
    </x:fill>
    <x:fill>
      <x:patternFill patternType="solid">
        <x:fgColor rgb="FFF5F3FA"/>
      </x:patternFill>
    </x:fill>
    <x:fill>
      <x:patternFill patternType="solid">
        <x:fgColor rgb="FF17142B"/>
      </x:patternFill>
    </x:fill>
    <x:fill>
      <x:patternFill patternType="solid">
        <x:fgColor rgb="FFDFFF80"/>
      </x:patternFill>
    </x:fill>
    <x:fill>
      <x:patternFill patternType="solid">
        <x:fgColor rgb="FF7050E8"/>
      </x:patternFill>
    </x:fill>
    <x:fill>
      <x:patternFill patternType="solid">
        <x:fgColor rgb="FF315DB5"/>
      </x:patternFill>
    </x:fill>
    <x:fill>
      <x:patternFill patternType="solid">
        <x:fgColor rgb="FFBF4B67"/>
      </x:patternFill>
    </x:fill>
    <x:fill>
      <x:patternFill patternType="solid">
        <x:fgColor rgb="FFF0EDF9"/>
      </x:patternFill>
    </x:fill>
    <x:fill>
      <x:patternFill patternType="solid">
        <x:fgColor rgb="FFECE6FF"/>
      </x:patternFill>
    </x:fill>
  </x:fills>
  <x:borders count="1">
    <x:border/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0" fillId="3" borderId="0" xfId="0" applyNumberFormat="1" applyFont="1" applyFill="1" applyBorder="1"/>
    <x:xf numFmtId="201" fontId="1" fillId="3" borderId="0" xfId="0" applyNumberFormat="1" applyFont="1" applyFill="1" applyBorder="1"/>
    <x:xf numFmtId="201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0" fontId="1" fillId="7" borderId="0" xfId="0" applyNumberFormat="1" applyFont="1" applyFill="1" applyBorder="1"/>
    <x:xf numFmtId="200" fontId="1" fillId="7" borderId="0" xfId="0" applyNumberFormat="1" applyFont="1" applyFill="1" applyBorder="1"/>
    <x:xf numFmtId="0" fontId="1" fillId="8" borderId="0" xfId="0" applyNumberFormat="1" applyFont="1" applyFill="1" applyBorder="1"/>
    <x:xf numFmtId="200" fontId="1" fillId="8" borderId="0" xfId="0" applyNumberFormat="1" applyFont="1" applyFill="1" applyBorder="1"/>
    <x:xf numFmtId="201" fontId="1" fillId="6" borderId="0" xfId="0" applyNumberFormat="1" applyFont="1" applyFill="1" applyBorder="1"/>
    <x:xf numFmtId="201" fontId="1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1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4" fontId="8" fillId="6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/>
    </x:xf>
    <x:xf numFmtId="205" fontId="8" fillId="6" borderId="0" xfId="0" applyNumberFormat="1" applyFont="1" applyFill="1" applyBorder="1" applyAlignment="1">
      <x:alignment vertical="center"/>
    </x:xf>
    <x:xf numFmtId="206" fontId="8" fillId="6" borderId="0" xfId="0" applyNumberFormat="1" applyFont="1" applyFill="1" applyBorder="1" applyAlignment="1">
      <x:alignment vertical="center"/>
    </x:xf>
    <x:xf numFmtId="202" fontId="7" fillId="9" borderId="0" xfId="0" applyNumberFormat="1" applyFont="1" applyFill="1" applyBorder="1" applyAlignment="1">
      <x:alignment vertical="center"/>
    </x:xf>
    <x:xf numFmtId="202" fontId="11" fillId="9" borderId="0" xfId="0" applyNumberFormat="1" applyFont="1" applyFill="1" applyBorder="1" applyAlignment="1">
      <x:alignment vertical="center"/>
    </x:xf>
    <x:xf numFmtId="204" fontId="7" fillId="9" borderId="0" xfId="0" applyNumberFormat="1" applyFont="1" applyFill="1" applyBorder="1" applyAlignment="1">
      <x:alignment vertical="center"/>
    </x:xf>
    <x:xf numFmtId="204" fontId="11" fillId="9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203" fontId="7" fillId="6" borderId="0" xfId="0" applyNumberFormat="1" applyFont="1" applyFill="1" applyBorder="1" applyAlignment="1">
      <x:alignment vertical="center"/>
    </x:xf>
    <x:xf numFmtId="203" fontId="7" fillId="12" borderId="0" xfId="0" applyNumberFormat="1" applyFont="1" applyFill="1" applyBorder="1" applyAlignment="1">
      <x:alignment vertical="center"/>
    </x:xf>
    <x:xf numFmtId="204" fontId="7" fillId="6" borderId="0" xfId="0" applyNumberFormat="1" applyFont="1" applyFill="1" applyBorder="1" applyAlignment="1">
      <x:alignment vertical="center"/>
    </x:xf>
    <x:xf numFmtId="204" fontId="7" fillId="12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/>
    <x:xf numFmtId="0" fontId="12" fillId="13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horizontal="center" vertical="center"/>
    </x:xf>
    <x:xf numFmtId="204" fontId="8" fillId="14" borderId="0" xfId="0" applyNumberFormat="1" applyFont="1" applyFill="1" applyBorder="1" applyAlignment="1">
      <x:alignment vertical="center"/>
    </x:xf>
    <x:xf numFmtId="205" fontId="8" fillId="14" borderId="0" xfId="0" applyNumberFormat="1" applyFont="1" applyFill="1" applyBorder="1" applyAlignment="1">
      <x:alignment vertical="center"/>
    </x:xf>
    <x:xf numFmtId="206" fontId="8" fillId="14" borderId="0" xfId="0" applyNumberFormat="1" applyFont="1" applyFill="1" applyBorder="1" applyAlignment="1">
      <x:alignment vertical="center"/>
    </x:xf>
    <x:xf numFmtId="202" fontId="11" fillId="14" borderId="0" xfId="0" applyNumberFormat="1" applyFont="1" applyFill="1" applyBorder="1" applyAlignment="1">
      <x:alignment vertical="center"/>
    </x:xf>
    <x:xf numFmtId="204" fontId="11" fillId="14" borderId="0" xfId="0" applyNumberFormat="1" applyFont="1" applyFill="1" applyBorder="1" applyAlignment="1">
      <x:alignment vertical="center"/>
    </x:xf>
    <x:xf numFmtId="0" fontId="3" fillId="14" borderId="0" xfId="0" applyNumberFormat="1" applyFont="1" applyFill="1" applyBorder="1" applyAlignment="1">
      <x:alignment vertical="center"/>
    </x:xf>
    <x:xf numFmtId="203" fontId="7" fillId="14" borderId="0" xfId="0" applyNumberFormat="1" applyFont="1" applyFill="1" applyBorder="1" applyAlignment="1">
      <x:alignment vertical="center"/>
    </x:xf>
    <x:xf numFmtId="204" fontId="7" fillId="14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horizontal="center" vertical="center"/>
    </x:xf>
    <x:xf numFmtId="0" fontId="13" fillId="15" borderId="0" xfId="0" applyNumberFormat="1" applyFont="1" applyFill="1" applyBorder="1" applyAlignment="1">
      <x:alignment vertical="center"/>
    </x:xf>
    <x:xf numFmtId="0" fontId="14" fillId="15" borderId="0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horizontal="center" vertical="center"/>
    </x:xf>
    <x:xf numFmtId="0" fontId="16" fillId="16" borderId="0" xfId="0" applyNumberFormat="1" applyFont="1" applyFill="1" applyBorder="1" applyAlignment="1">
      <x:alignment horizontal="center" vertical="center"/>
    </x:xf>
    <x:xf numFmtId="0" fontId="7" fillId="17" borderId="0" xfId="0" applyNumberFormat="1" applyFont="1" applyFill="1" applyBorder="1" applyAlignment="1">
      <x:alignment vertical="center"/>
    </x:xf>
    <x:xf numFmtId="0" fontId="9" fillId="17" borderId="0" xfId="0" applyNumberFormat="1" applyFont="1" applyFill="1" applyBorder="1" applyAlignment="1">
      <x:alignment vertical="center"/>
    </x:xf>
    <x:xf numFmtId="204" fontId="8" fillId="17" borderId="0" xfId="0" applyNumberFormat="1" applyFont="1" applyFill="1" applyBorder="1" applyAlignment="1">
      <x:alignment vertical="center"/>
    </x:xf>
    <x:xf numFmtId="0" fontId="17" fillId="17" borderId="0" xfId="0" applyNumberFormat="1" applyFont="1" applyFill="1" applyBorder="1" applyAlignment="1">
      <x:alignment vertical="center"/>
    </x:xf>
    <x:xf numFmtId="204" fontId="18" fillId="17" borderId="0" xfId="0" applyNumberFormat="1" applyFont="1" applyFill="1" applyBorder="1" applyAlignment="1">
      <x:alignment vertical="center"/>
    </x:xf>
    <x:xf numFmtId="204" fontId="18" fillId="17" borderId="0" xfId="0" applyNumberFormat="1" applyFont="1" applyFill="1" applyBorder="1" applyAlignment="1">
      <x:alignment horizontal="left" vertical="center"/>
    </x:xf>
    <x:xf numFmtId="0" fontId="9" fillId="5" borderId="0" xfId="0" applyNumberFormat="1" applyFont="1" applyFill="1" applyBorder="1" applyAlignment="1">
      <x:alignment vertical="center"/>
    </x:xf>
    <x:xf numFmtId="204" fontId="8" fillId="5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vertical="center"/>
    </x:xf>
    <x:xf numFmtId="204" fontId="18" fillId="5" borderId="0" xfId="0" applyNumberFormat="1" applyFont="1" applyFill="1" applyBorder="1" applyAlignment="1">
      <x:alignment vertical="center"/>
    </x:xf>
    <x:xf numFmtId="204" fontId="18" fillId="5" borderId="0" xfId="0" applyNumberFormat="1" applyFont="1" applyFill="1" applyBorder="1" applyAlignment="1">
      <x:alignment horizontal="left" vertical="center"/>
    </x:xf>
    <x:xf numFmtId="0" fontId="7" fillId="18" borderId="0" xfId="0" applyNumberFormat="1" applyFont="1" applyFill="1" applyBorder="1" applyAlignment="1">
      <x:alignment vertical="center"/>
    </x:xf>
    <x:xf numFmtId="0" fontId="9" fillId="18" borderId="0" xfId="0" applyNumberFormat="1" applyFont="1" applyFill="1" applyBorder="1" applyAlignment="1">
      <x:alignment vertical="center"/>
    </x:xf>
    <x:xf numFmtId="205" fontId="8" fillId="18" borderId="0" xfId="0" applyNumberFormat="1" applyFont="1" applyFill="1" applyBorder="1" applyAlignment="1">
      <x:alignment vertical="center"/>
    </x:xf>
    <x:xf numFmtId="0" fontId="17" fillId="18" borderId="0" xfId="0" applyNumberFormat="1" applyFont="1" applyFill="1" applyBorder="1" applyAlignment="1">
      <x:alignment vertical="center"/>
    </x:xf>
    <x:xf numFmtId="205" fontId="18" fillId="18" borderId="0" xfId="0" applyNumberFormat="1" applyFont="1" applyFill="1" applyBorder="1" applyAlignment="1">
      <x:alignment vertical="center"/>
    </x:xf>
    <x:xf numFmtId="205" fontId="18" fillId="18" borderId="0" xfId="0" applyNumberFormat="1" applyFont="1" applyFill="1" applyBorder="1" applyAlignment="1">
      <x:alignment horizontal="left" vertical="center"/>
    </x:xf>
    <x:xf numFmtId="0" fontId="7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206" fontId="8" fillId="19" borderId="0" xfId="0" applyNumberFormat="1" applyFont="1" applyFill="1" applyBorder="1" applyAlignment="1">
      <x:alignment vertical="center"/>
    </x:xf>
    <x:xf numFmtId="0" fontId="17" fillId="19" borderId="0" xfId="0" applyNumberFormat="1" applyFont="1" applyFill="1" applyBorder="1" applyAlignment="1">
      <x:alignment vertical="center"/>
    </x:xf>
    <x:xf numFmtId="206" fontId="18" fillId="19" borderId="0" xfId="0" applyNumberFormat="1" applyFont="1" applyFill="1" applyBorder="1" applyAlignment="1">
      <x:alignment vertical="center"/>
    </x:xf>
    <x:xf numFmtId="206" fontId="18" fillId="19" borderId="0" xfId="0" applyNumberFormat="1" applyFont="1" applyFill="1" applyBorder="1" applyAlignment="1">
      <x:alignment horizontal="left" vertical="center"/>
    </x:xf>
    <x:xf numFmtId="202" fontId="11" fillId="6" borderId="0" xfId="0" applyNumberFormat="1" applyFont="1" applyFill="1" applyBorder="1" applyAlignment="1">
      <x:alignment vertical="center"/>
    </x:xf>
    <x:xf numFmtId="204" fontId="11" fillId="6" borderId="0" xfId="0" applyNumberFormat="1" applyFont="1" applyFill="1" applyBorder="1" applyAlignment="1">
      <x:alignment vertical="center"/>
    </x:xf>
    <x:xf numFmtId="202" fontId="19" fillId="6" borderId="0" xfId="0" applyNumberFormat="1" applyFont="1" applyFill="1" applyBorder="1" applyAlignment="1">
      <x:alignment vertical="center"/>
    </x:xf>
    <x:xf numFmtId="204" fontId="2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vertical="center"/>
    </x:xf>
    <x:xf numFmtId="203" fontId="7" fillId="20" borderId="0" xfId="0" applyNumberFormat="1" applyFont="1" applyFill="1" applyBorder="1" applyAlignment="1">
      <x:alignment vertical="center"/>
    </x:xf>
    <x:xf numFmtId="0" fontId="7" fillId="20" borderId="0" xfId="0" applyNumberFormat="1" applyFont="1" applyFill="1" applyBorder="1" applyAlignment="1">
      <x:alignment vertical="center"/>
    </x:xf>
    <x:xf numFmtId="204" fontId="7" fillId="20" borderId="0" xfId="0" applyNumberFormat="1" applyFont="1" applyFill="1" applyBorder="1" applyAlignment="1">
      <x:alignment vertical="center"/>
    </x:xf>
    <x:xf numFmtId="0" fontId="21" fillId="14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/>
    <x:xf numFmtId="0" fontId="5" fillId="15" borderId="0" xfId="0" applyNumberFormat="1" applyFont="1" applyFill="1" applyBorder="1"/>
    <x:xf numFmtId="0" fontId="6" fillId="15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 vertical="center" wrapText="1"/>
    </x:xf>
    <x:xf numFmtId="0" fontId="12" fillId="21" borderId="0" xfId="0" applyNumberFormat="1" applyFont="1" applyFill="1" applyBorder="1"/>
    <x:xf numFmtId="0" fontId="22" fillId="21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A5B00"/>
      </x:font>
      <x:fill>
        <x:patternFill patternType="solid">
          <x:bgColor rgb="FFFFF0C2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color rgb="FFB91C1C"/>
      </x:font>
      <x:fill>
        <x:patternFill patternType="solid">
          <x:bgColor rgb="FFFDE2E2"/>
        </x:patternFill>
      </x:fill>
    </x:dxf>
    <x:dxf>
      <x:font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57eef69984647" /><Relationship Type="http://schemas.openxmlformats.org/officeDocument/2006/relationships/theme" Target="/xl/theme/theme1.xml" Id="Rbcc8d3fedcb54fc3" /><Relationship Type="http://schemas.openxmlformats.org/officeDocument/2006/relationships/sharedStrings" Target="/xl/sharedStrings.xml" Id="R38aac86bcd564204" /><Relationship Type="http://schemas.openxmlformats.org/officeDocument/2006/relationships/worksheet" Target="/xl/worksheets/sheet1.xml" Id="Rd1625484713b4550" /><Relationship Type="http://schemas.openxmlformats.org/officeDocument/2006/relationships/worksheet" Target="/xl/worksheets/sheet2.xml" Id="R43c4b1f5a95147b4" /><Relationship Type="http://schemas.openxmlformats.org/officeDocument/2006/relationships/worksheet" Target="/xl/worksheets/sheet3.xml" Id="R4a5017e446ab4310" /><Relationship Type="http://schemas.openxmlformats.org/officeDocument/2006/relationships/worksheet" Target="/xl/worksheets/sheet4.xml" Id="R072c694065864692" /><Relationship Type="http://schemas.openxmlformats.org/officeDocument/2006/relationships/worksheet" Target="/xl/worksheets/sheet5.xml" Id="Rbff57fd6e5084e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7e8d7669d44665" /><Relationship Type="http://schemas.openxmlformats.org/officeDocument/2006/relationships/chart" Target="/xl/drawings/charts/chart2.xml" Id="R637f3e0b50b342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momentum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sales</c:v>
          </c:tx>
          <c:spPr>
            <a:ln xmlns:a="http://schemas.openxmlformats.org/drawingml/2006/main" w="28575">
              <a:solidFill>
                <a:srgbClr val="7050E8"/>
              </a:solidFill>
              <a:prstDash val="solid"/>
            </a:ln>
          </c:spPr>
          <c:marker>
            <c:symbol val="none"/>
          </c:marker>
          <c:cat>
            <c:strRef>
              <c:f>'Dashboard'!$B$16:$B$27</c:f>
              <c:strCache>
                <c:ptCount val="0"/>
              </c:strCache>
            </c:strRef>
          </c:cat>
          <c:val>
            <c:numRef>
              <c:f>'Dashboard'!$C$16:$C$27</c:f>
              <c:numCache>
                <c:formatCode>"₹" 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spPr>
            <a:ln xmlns:a="http://schemas.openxmlformats.org/drawingml/2006/main" w="28575">
              <a:solidFill>
                <a:srgbClr val="16A6A0"/>
              </a:solidFill>
              <a:prstDash val="solid"/>
            </a:ln>
          </c:spPr>
          <c:marker>
            <c:symbol val="none"/>
          </c:marker>
          <c:cat>
            <c:strRef>
              <c:f>'Dashboard'!$B$16:$B$27</c:f>
              <c:strCache>
                <c:ptCount val="0"/>
              </c:strCache>
            </c:strRef>
          </c:cat>
          <c:val>
            <c:numRef>
              <c:f>'Dashboard'!$D$16:$D$27</c:f>
              <c:numCache>
                <c:formatCode>"₹"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₹&quot; 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Stock health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Products</c:v>
          </c:tx>
          <c:spPr>
            <a:solidFill xmlns:a="http://schemas.openxmlformats.org/drawingml/2006/main">
              <a:srgbClr val="167D8D"/>
            </a:solidFill>
          </c:spPr>
          <c:cat>
            <c:strRef>
              <c:f>'Dashboard'!$A$31:$A$33</c:f>
              <c:strCache>
                <c:ptCount val="0"/>
              </c:strCache>
            </c:strRef>
          </c:cat>
          <c:val>
            <c:numRef>
              <c:f>'Dashboard'!$B$31:$B$33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7e8d7669d44665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7f3e0b50b342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tockTable" displayName="StockTable" ref="A5:J105" headerRowCount="1" totalsRowCount="0" totalsRowShown="0">
  <x:tableColumns count="10">
    <x:tableColumn id="1" name="SKU"/>
    <x:tableColumn id="2" name="Product / variant"/>
    <x:tableColumn id="3" name="Opening"/>
    <x:tableColumn id="4" name="Purchased"/>
    <x:tableColumn id="5" name="Sold"/>
    <x:tableColumn id="6" name="Adjustments"/>
    <x:tableColumn id="7" name="In stock"/>
    <x:tableColumn id="8" name="Reorder level"/>
    <x:tableColumn id="9" name="Status"/>
    <x:tableColumn id="10" name="Stock 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sTable" displayName="ProductsTable" ref="A5:G105" headerRowCount="1" totalsRowCount="0" totalsRowShown="0">
  <x:tableColumns count="7">
    <x:tableColumn id="1" name="SKU"/>
    <x:tableColumn id="2" name="Product / variant"/>
    <x:tableColumn id="3" name="Category"/>
    <x:tableColumn id="4" name="Opening units"/>
    <x:tableColumn id="5" name="Unit cost"/>
    <x:tableColumn id="6" name="Reorder level"/>
    <x:tableColumn id="7" name="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ransactionsTable" displayName="TransactionsTable" ref="A5:L505" headerRowCount="1" totalsRowCount="0" totalsRowShown="0">
  <x:tableColumns count="12">
    <x:tableColumn id="1" name="Date"/>
    <x:tableColumn id="2" name="Reference"/>
    <x:tableColumn id="3" name="Type"/>
    <x:tableColumn id="4" name="SKU"/>
    <x:tableColumn id="5" name="Units"/>
    <x:tableColumn id="6" name="Sale unit price"/>
    <x:tableColumn id="7" name="Discount total"/>
    <x:tableColumn id="8" name="Unit cost"/>
    <x:tableColumn id="9" name="Notes"/>
    <x:tableColumn id="10" name="Check"/>
    <x:tableColumn id="11" name="Net sales"/>
    <x:tableColumn id="12" name="Gross 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b1ffc444ee46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0bf4f30531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f376fefabb46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fb35b2485c4e21" /></Relationships>
</file>

<file path=xl/worksheets/sheet1.xml><?xml version="1.0" encoding="utf-8"?>
<x:worksheet xmlns:x="http://schemas.openxmlformats.org/spreadsheetml/2006/main">
  <x:sheetPr>
    <x:tabColor rgb="FF243447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" hidden="0" customWidth="1"/>
  </x:cols>
  <x:sheetData>
    <x:row r="1" ht="25" customHeight="1">
      <x:c r="A1" s="86"/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2" ht="25" customHeight="1">
      <x:c r="A2" s="86"/>
      <x:c r="B2" s="90" t="str">
        <x:v>STOCK STUDIO</x:v>
      </x:c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</x:row>
    <x:row r="3" ht="25" customHeight="1">
      <x:c r="A3" s="86"/>
      <x:c r="B3" s="91" t="str">
        <x:v>SALES &amp; INVENTORY     /     Clothing retail     /     INR</x:v>
      </x:c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</x:row>
    <x:row r="4" ht="25" customHeight="1">
      <x:c r="A4" s="92" t="str">
        <x:v>Year</x:v>
      </x:c>
      <x:c r="B4" s="94" t="n">
        <x:v>2026</x:v>
      </x:c>
      <x:c r="C4" s="86"/>
      <x:c r="D4" s="86"/>
      <x:c r="E4" s="86"/>
      <x:c r="F4" s="86"/>
      <x:c r="G4" s="86"/>
      <x:c r="H4" s="86"/>
      <x:c r="I4" s="86"/>
      <x:c r="J4" s="86"/>
      <x:c r="K4" s="86"/>
      <x:c r="L4" s="86"/>
      <x:c r="M4" s="86"/>
    </x:row>
    <x:row r="5" ht="25" customHeight="1">
      <x:c r="A5" s="74"/>
      <x:c r="B5" s="95"/>
      <x:c r="C5" s="95"/>
      <x:c r="D5" s="74"/>
      <x:c r="E5" s="52"/>
      <x:c r="F5" s="52"/>
      <x:c r="G5" s="74"/>
      <x:c r="H5" s="106"/>
      <x:c r="I5" s="106"/>
      <x:c r="J5" s="74"/>
      <x:c r="K5" s="112"/>
      <x:c r="L5" s="112"/>
      <x:c r="M5" s="74"/>
    </x:row>
    <x:row r="6" ht="25" customHeight="1">
      <x:c r="A6" s="74"/>
      <x:c r="B6" s="98" t="str">
        <x:v>NET SALES</x:v>
      </x:c>
      <x:c r="C6" s="95"/>
      <x:c r="D6" s="74"/>
      <x:c r="E6" s="103" t="str">
        <x:v>GROSS PROFIT</x:v>
      </x:c>
      <x:c r="F6" s="52"/>
      <x:c r="G6" s="74"/>
      <x:c r="H6" s="109" t="str">
        <x:v>STOCK UNITS</x:v>
      </x:c>
      <x:c r="I6" s="106"/>
      <x:c r="J6" s="74"/>
      <x:c r="K6" s="115" t="str">
        <x:v>REORDER ALERTS</x:v>
      </x:c>
      <x:c r="L6" s="112"/>
      <x:c r="M6" s="74"/>
    </x:row>
    <x:row r="7" ht="25" customHeight="1">
      <x:c r="A7" s="74"/>
      <x:c r="B7" s="100" t="n">
        <x:f>IF($B$12&gt;0,"Fix inputs",SUM(C16:C27))</x:f>
        <x:v>32400</x:v>
      </x:c>
      <x:c r="C7" s="95"/>
      <x:c r="D7" s="74"/>
      <x:c r="E7" s="105" t="n">
        <x:f>IF($B$12&gt;0,"Fix inputs",SUM(D16:D27))</x:f>
        <x:v>16200</x:v>
      </x:c>
      <x:c r="F7" s="52"/>
      <x:c r="G7" s="74"/>
      <x:c r="H7" s="111" t="n">
        <x:f>IF($B$12&gt;0,"Fix inputs",SUM(Stock!G6:G105))</x:f>
        <x:v>53</x:v>
      </x:c>
      <x:c r="I7" s="106"/>
      <x:c r="J7" s="74"/>
      <x:c r="K7" s="117" t="n">
        <x:f>IF($B$12&gt;0,"Fix inputs",COUNTIFS(Stock!I6:I105,"Reorder"))</x:f>
        <x:v>3</x:v>
      </x:c>
      <x:c r="L7" s="112"/>
      <x:c r="M7" s="74"/>
    </x:row>
    <x:row r="8" ht="25" customHeight="1">
      <x:c r="A8" s="74"/>
      <x:c r="B8" s="95"/>
      <x:c r="C8" s="95"/>
      <x:c r="D8" s="74"/>
      <x:c r="E8" s="52"/>
      <x:c r="F8" s="52"/>
      <x:c r="G8" s="74"/>
      <x:c r="H8" s="106"/>
      <x:c r="I8" s="106"/>
      <x:c r="J8" s="74"/>
      <x:c r="K8" s="112"/>
      <x:c r="L8" s="112"/>
      <x:c r="M8" s="74"/>
    </x:row>
    <x:row r="9" ht="25" customHeight="1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 ht="25" customHeight="1">
      <x:c r="A10" s="74"/>
      <x:c r="B10" s="51" t="str">
        <x:v>Gross margin</x:v>
      </x:c>
      <x:c r="C10" s="120" t="n">
        <x:f>IF($B$12&gt;0,"Fix inputs",IF(B7=0,"n.a.",E7/B7))</x:f>
        <x:v>0.5</x:v>
      </x:c>
      <x:c r="D10" s="51"/>
      <x:c r="E10" s="51" t="str">
        <x:v>Stock value (catalogue cost)</x:v>
      </x:c>
      <x:c r="F10" s="51"/>
      <x:c r="G10" s="51"/>
      <x:c r="H10" s="121" t="n">
        <x:f>IF($B$12&gt;0,"Fix inputs",SUM(Stock!J6:J105))</x:f>
        <x:v>25000</x:v>
      </x:c>
      <x:c r="I10" s="51"/>
      <x:c r="J10" s="51"/>
      <x:c r="K10" s="51"/>
      <x:c r="L10" s="51"/>
      <x:c r="M10" s="74"/>
    </x:row>
    <x:row r="11" ht="25" customHeight="1">
      <x:c r="A11" s="74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74"/>
    </x:row>
    <x:row r="12" ht="25" customHeight="1">
      <x:c r="A12" s="74" t="str">
        <x:v>Errors</x:v>
      </x:c>
      <x:c r="B12" s="51" t="n">
        <x:f>COUNTIFS(Transactions!$J$6:$J$505,"Check inputs")+COUNTIFS(Transactions!$J$6:$J$505,"Check sale amounts")+COUNTIFS(Products!$G$6:$G$105,"Check inputs")+COUNTIFS(Products!$G$6:$G$105,"Duplicate SKU")</x:f>
        <x:v>0</x:v>
      </x:c>
      <x:c r="C12" s="51"/>
      <x:c r="D12" s="53" t="str">
        <x:f>IF(B12=0,"Ready to review. Filter Stock for reorder alerts.","Review flagged input rows before using the dashboard.")</x:f>
        <x:v>Ready to review. Filter Stock for reorder alerts.</x:v>
      </x:c>
      <x:c r="E12" s="51"/>
      <x:c r="F12" s="51"/>
      <x:c r="G12" s="51"/>
      <x:c r="H12" s="51"/>
      <x:c r="I12" s="51"/>
      <x:c r="J12" s="51"/>
      <x:c r="K12" s="51"/>
      <x:c r="L12" s="51"/>
      <x:c r="M12" s="74"/>
    </x:row>
    <x:row r="13" ht="25" customHeight="1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 ht="25" customHeight="1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 ht="30" customHeight="1">
      <x:c r="A15" s="123" t="str">
        <x:v>Period</x:v>
      </x:c>
      <x:c r="B15" s="123" t="str">
        <x:v>Month</x:v>
      </x:c>
      <x:c r="C15" s="123" t="str">
        <x:v>Net sales</x:v>
      </x:c>
      <x:c r="D15" s="123" t="str">
        <x:v>Gross profit</x:v>
      </x:c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 ht="25" customHeight="1">
      <x:c r="A16" s="66" t="n">
        <x:f>DATE($B$4,1,1)</x:f>
        <x:v>46023</x:v>
      </x:c>
      <x:c r="B16" s="51" t="str">
        <x:f>TEXT(A16,"mmm")</x:f>
        <x:v>Jan</x:v>
      </x:c>
      <x:c r="C16" s="68" t="n">
        <x:f>IF($B$12&gt;0,"Fix inputs",SUMIFS(Transactions!$K$6:$K$505,Transactions!$A$6:$A$505,"&gt;="&amp;A16,Transactions!$A$6:$A$505,"&lt;"&amp;EDATE(A16,1)))</x:f>
        <x:v>0</x:v>
      </x:c>
      <x:c r="D16" s="68" t="n">
        <x:f>IF($B$12&gt;0,"Fix inputs",SUMIFS(Transactions!$L$6:$L$505,Transactions!$A$6:$A$505,"&gt;="&amp;A16,Transactions!$A$6:$A$505,"&lt;"&amp;EDATE(A16,1)))</x:f>
        <x:v>0</x:v>
      </x:c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 ht="25" customHeight="1">
      <x:c r="A17" s="124" t="n">
        <x:f>DATE($B$4,2,1)</x:f>
        <x:v>46054</x:v>
      </x:c>
      <x:c r="B17" s="125" t="str">
        <x:f>TEXT(A17,"mmm")</x:f>
        <x:v>Feb</x:v>
      </x:c>
      <x:c r="C17" s="126" t="n">
        <x:f>IF($B$12&gt;0,"Fix inputs",SUMIFS(Transactions!$K$6:$K$505,Transactions!$A$6:$A$505,"&gt;="&amp;A17,Transactions!$A$6:$A$505,"&lt;"&amp;EDATE(A17,1)))</x:f>
        <x:v>0</x:v>
      </x:c>
      <x:c r="D17" s="126" t="n">
        <x:f>IF($B$12&gt;0,"Fix inputs",SUMIFS(Transactions!$L$6:$L$505,Transactions!$A$6:$A$505,"&gt;="&amp;A17,Transactions!$A$6:$A$505,"&lt;"&amp;EDATE(A17,1)))</x:f>
        <x:v>0</x:v>
      </x:c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 ht="25" customHeight="1">
      <x:c r="A18" s="66" t="n">
        <x:f>DATE($B$4,3,1)</x:f>
        <x:v>46082</x:v>
      </x:c>
      <x:c r="B18" s="51" t="str">
        <x:f>TEXT(A18,"mmm")</x:f>
        <x:v>Mar</x:v>
      </x:c>
      <x:c r="C18" s="68" t="n">
        <x:f>IF($B$12&gt;0,"Fix inputs",SUMIFS(Transactions!$K$6:$K$505,Transactions!$A$6:$A$505,"&gt;="&amp;A18,Transactions!$A$6:$A$505,"&lt;"&amp;EDATE(A18,1)))</x:f>
        <x:v>0</x:v>
      </x:c>
      <x:c r="D18" s="68" t="n">
        <x:f>IF($B$12&gt;0,"Fix inputs",SUMIFS(Transactions!$L$6:$L$505,Transactions!$A$6:$A$505,"&gt;="&amp;A18,Transactions!$A$6:$A$505,"&lt;"&amp;EDATE(A18,1)))</x:f>
        <x:v>0</x:v>
      </x:c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 ht="25" customHeight="1">
      <x:c r="A19" s="124" t="n">
        <x:f>DATE($B$4,4,1)</x:f>
        <x:v>46113</x:v>
      </x:c>
      <x:c r="B19" s="125" t="str">
        <x:f>TEXT(A19,"mmm")</x:f>
        <x:v>Apr</x:v>
      </x:c>
      <x:c r="C19" s="126" t="n">
        <x:f>IF($B$12&gt;0,"Fix inputs",SUMIFS(Transactions!$K$6:$K$505,Transactions!$A$6:$A$505,"&gt;="&amp;A19,Transactions!$A$6:$A$505,"&lt;"&amp;EDATE(A19,1)))</x:f>
        <x:v>0</x:v>
      </x:c>
      <x:c r="D19" s="126" t="n">
        <x:f>IF($B$12&gt;0,"Fix inputs",SUMIFS(Transactions!$L$6:$L$505,Transactions!$A$6:$A$505,"&gt;="&amp;A19,Transactions!$A$6:$A$505,"&lt;"&amp;EDATE(A19,1)))</x:f>
        <x:v>0</x:v>
      </x:c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 ht="25" customHeight="1">
      <x:c r="A20" s="66" t="n">
        <x:f>DATE($B$4,5,1)</x:f>
        <x:v>46143</x:v>
      </x:c>
      <x:c r="B20" s="51" t="str">
        <x:f>TEXT(A20,"mmm")</x:f>
        <x:v>May</x:v>
      </x:c>
      <x:c r="C20" s="68" t="n">
        <x:f>IF($B$12&gt;0,"Fix inputs",SUMIFS(Transactions!$K$6:$K$505,Transactions!$A$6:$A$505,"&gt;="&amp;A20,Transactions!$A$6:$A$505,"&lt;"&amp;EDATE(A20,1)))</x:f>
        <x:v>0</x:v>
      </x:c>
      <x:c r="D20" s="68" t="n">
        <x:f>IF($B$12&gt;0,"Fix inputs",SUMIFS(Transactions!$L$6:$L$505,Transactions!$A$6:$A$505,"&gt;="&amp;A20,Transactions!$A$6:$A$505,"&lt;"&amp;EDATE(A20,1)))</x:f>
        <x:v>0</x:v>
      </x:c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 ht="25" customHeight="1">
      <x:c r="A21" s="124" t="n">
        <x:f>DATE($B$4,6,1)</x:f>
        <x:v>46174</x:v>
      </x:c>
      <x:c r="B21" s="125" t="str">
        <x:f>TEXT(A21,"mmm")</x:f>
        <x:v>Jun</x:v>
      </x:c>
      <x:c r="C21" s="126" t="n">
        <x:f>IF($B$12&gt;0,"Fix inputs",SUMIFS(Transactions!$K$6:$K$505,Transactions!$A$6:$A$505,"&gt;="&amp;A21,Transactions!$A$6:$A$505,"&lt;"&amp;EDATE(A21,1)))</x:f>
        <x:v>0</x:v>
      </x:c>
      <x:c r="D21" s="126" t="n">
        <x:f>IF($B$12&gt;0,"Fix inputs",SUMIFS(Transactions!$L$6:$L$505,Transactions!$A$6:$A$505,"&gt;="&amp;A21,Transactions!$A$6:$A$505,"&lt;"&amp;EDATE(A21,1)))</x:f>
        <x:v>0</x:v>
      </x:c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 ht="25" customHeight="1">
      <x:c r="A22" s="66" t="n">
        <x:f>DATE($B$4,7,1)</x:f>
        <x:v>46204</x:v>
      </x:c>
      <x:c r="B22" s="51" t="str">
        <x:f>TEXT(A22,"mmm")</x:f>
        <x:v>Jul</x:v>
      </x:c>
      <x:c r="C22" s="68" t="n">
        <x:f>IF($B$12&gt;0,"Fix inputs",SUMIFS(Transactions!$K$6:$K$505,Transactions!$A$6:$A$505,"&gt;="&amp;A22,Transactions!$A$6:$A$505,"&lt;"&amp;EDATE(A22,1)))</x:f>
        <x:v>0</x:v>
      </x:c>
      <x:c r="D22" s="68" t="n">
        <x:f>IF($B$12&gt;0,"Fix inputs",SUMIFS(Transactions!$L$6:$L$505,Transactions!$A$6:$A$505,"&gt;="&amp;A22,Transactions!$A$6:$A$505,"&lt;"&amp;EDATE(A22,1)))</x:f>
        <x:v>0</x:v>
      </x:c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 ht="25" customHeight="1">
      <x:c r="A23" s="124" t="n">
        <x:f>DATE($B$4,8,1)</x:f>
        <x:v>46235</x:v>
      </x:c>
      <x:c r="B23" s="125" t="str">
        <x:f>TEXT(A23,"mmm")</x:f>
        <x:v>Aug</x:v>
      </x:c>
      <x:c r="C23" s="126" t="n">
        <x:f>IF($B$12&gt;0,"Fix inputs",SUMIFS(Transactions!$K$6:$K$505,Transactions!$A$6:$A$505,"&gt;="&amp;A23,Transactions!$A$6:$A$505,"&lt;"&amp;EDATE(A23,1)))</x:f>
        <x:v>12400</x:v>
      </x:c>
      <x:c r="D23" s="126" t="n">
        <x:f>IF($B$12&gt;0,"Fix inputs",SUMIFS(Transactions!$L$6:$L$505,Transactions!$A$6:$A$505,"&gt;="&amp;A23,Transactions!$A$6:$A$505,"&lt;"&amp;EDATE(A23,1)))</x:f>
        <x:v>6000</x:v>
      </x:c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 ht="25" customHeight="1">
      <x:c r="A24" s="66" t="n">
        <x:f>DATE($B$4,9,1)</x:f>
        <x:v>46266</x:v>
      </x:c>
      <x:c r="B24" s="51" t="str">
        <x:f>TEXT(A24,"mmm")</x:f>
        <x:v>Sep</x:v>
      </x:c>
      <x:c r="C24" s="68" t="n">
        <x:f>IF($B$12&gt;0,"Fix inputs",SUMIFS(Transactions!$K$6:$K$505,Transactions!$A$6:$A$505,"&gt;="&amp;A24,Transactions!$A$6:$A$505,"&lt;"&amp;EDATE(A24,1)))</x:f>
        <x:v>18050</x:v>
      </x:c>
      <x:c r="D24" s="68" t="n">
        <x:f>IF($B$12&gt;0,"Fix inputs",SUMIFS(Transactions!$L$6:$L$505,Transactions!$A$6:$A$505,"&gt;="&amp;A24,Transactions!$A$6:$A$505,"&lt;"&amp;EDATE(A24,1)))</x:f>
        <x:v>9150</x:v>
      </x:c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 ht="25" customHeight="1">
      <x:c r="A25" s="124" t="n">
        <x:f>DATE($B$4,10,1)</x:f>
        <x:v>46296</x:v>
      </x:c>
      <x:c r="B25" s="125" t="str">
        <x:f>TEXT(A25,"mmm")</x:f>
        <x:v>Oct</x:v>
      </x:c>
      <x:c r="C25" s="126" t="n">
        <x:f>IF($B$12&gt;0,"Fix inputs",SUMIFS(Transactions!$K$6:$K$505,Transactions!$A$6:$A$505,"&gt;="&amp;A25,Transactions!$A$6:$A$505,"&lt;"&amp;EDATE(A25,1)))</x:f>
        <x:v>1950</x:v>
      </x:c>
      <x:c r="D25" s="126" t="n">
        <x:f>IF($B$12&gt;0,"Fix inputs",SUMIFS(Transactions!$L$6:$L$505,Transactions!$A$6:$A$505,"&gt;="&amp;A25,Transactions!$A$6:$A$505,"&lt;"&amp;EDATE(A25,1)))</x:f>
        <x:v>1050</x:v>
      </x:c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 ht="25" customHeight="1">
      <x:c r="A26" s="66" t="n">
        <x:f>DATE($B$4,11,1)</x:f>
        <x:v>46327</x:v>
      </x:c>
      <x:c r="B26" s="51" t="str">
        <x:f>TEXT(A26,"mmm")</x:f>
        <x:v>Nov</x:v>
      </x:c>
      <x:c r="C26" s="68" t="n">
        <x:f>IF($B$12&gt;0,"Fix inputs",SUMIFS(Transactions!$K$6:$K$505,Transactions!$A$6:$A$505,"&gt;="&amp;A26,Transactions!$A$6:$A$505,"&lt;"&amp;EDATE(A26,1)))</x:f>
        <x:v>0</x:v>
      </x:c>
      <x:c r="D26" s="68" t="n">
        <x:f>IF($B$12&gt;0,"Fix inputs",SUMIFS(Transactions!$L$6:$L$505,Transactions!$A$6:$A$505,"&gt;="&amp;A26,Transactions!$A$6:$A$505,"&lt;"&amp;EDATE(A26,1)))</x:f>
        <x:v>0</x:v>
      </x:c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 ht="25" customHeight="1">
      <x:c r="A27" s="124" t="n">
        <x:f>DATE($B$4,12,1)</x:f>
        <x:v>46357</x:v>
      </x:c>
      <x:c r="B27" s="125" t="str">
        <x:f>TEXT(A27,"mmm")</x:f>
        <x:v>Dec</x:v>
      </x:c>
      <x:c r="C27" s="126" t="n">
        <x:f>IF($B$12&gt;0,"Fix inputs",SUMIFS(Transactions!$K$6:$K$505,Transactions!$A$6:$A$505,"&gt;="&amp;A27,Transactions!$A$6:$A$505,"&lt;"&amp;EDATE(A27,1)))</x:f>
        <x:v>0</x:v>
      </x:c>
      <x:c r="D27" s="126" t="n">
        <x:f>IF($B$12&gt;0,"Fix inputs",SUMIFS(Transactions!$L$6:$L$505,Transactions!$A$6:$A$505,"&gt;="&amp;A27,Transactions!$A$6:$A$505,"&lt;"&amp;EDATE(A27,1)))</x:f>
        <x:v>0</x:v>
      </x:c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 ht="25" customHeight="1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 ht="25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 ht="25" customHeight="1">
      <x:c r="A30" s="123" t="str">
        <x:v>Stock status</x:v>
      </x:c>
      <x:c r="B30" s="123" t="str">
        <x:v>Products</x:v>
      </x:c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 ht="30" customHeight="1">
      <x:c r="A31" s="51" t="str">
        <x:v>In stock</x:v>
      </x:c>
      <x:c r="B31" s="37" t="n">
        <x:f>IF($B$12&gt;0,"Fix inputs",COUNTIFS(Stock!$I$6:$I$105,A31))</x:f>
        <x:v>3</x:v>
      </x:c>
      <x:c r="C31"/>
      <x:c r="D31"/>
      <x:c r="E31"/>
      <x:c r="F31"/>
      <x:c r="G31"/>
      <x:c r="H31"/>
      <x:c r="I31"/>
      <x:c r="J31"/>
      <x:c r="K31"/>
      <x:c r="L31"/>
      <x:c r="M31" s="74"/>
    </x:row>
    <x:row r="32" ht="25" customHeight="1">
      <x:c r="A32" s="51" t="str">
        <x:v>Reorder</x:v>
      </x:c>
      <x:c r="B32" s="51" t="n">
        <x:f>IF($B$12&gt;0,"Fix inputs",COUNTIFS(Stock!$I$6:$I$105,A32))</x:f>
        <x:v>3</x:v>
      </x:c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 ht="25" customHeight="1">
      <x:c r="A33" s="51" t="str">
        <x:v>Negative stock</x:v>
      </x:c>
      <x:c r="B33" s="37" t="n">
        <x:f>IF($B$12&gt;0,"Fix inputs",COUNTIFS(Stock!$I$6:$I$105,A33))</x:f>
        <x:v>0</x:v>
      </x:c>
      <x:c r="C33"/>
      <x:c r="D33"/>
      <x:c r="E33"/>
      <x:c r="F33"/>
      <x:c r="G33"/>
      <x:c r="H33"/>
      <x:c r="I33"/>
      <x:c r="J33"/>
      <x:c r="K33"/>
      <x:c r="L33"/>
      <x:c r="M33" s="74"/>
    </x:row>
    <x:row r="34" ht="25" customHeight="1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 ht="25" customHeight="1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 ht="25" customHeight="1">
      <x:c r="A36" s="74"/>
      <x:c r="B36" s="127" t="str">
        <x:v>100 variants / 500 transactions</x:v>
      </x:c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29" t="str">
        <x:v>Edit amber inputs. Review Stock alerts before reordering.</x:v>
      </x:c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mergeCells>
    <x:mergeCell ref="B2:L2"/>
    <x:mergeCell ref="B3:L3"/>
    <x:mergeCell ref="B6:C6"/>
    <x:mergeCell ref="B7:C8"/>
    <x:mergeCell ref="E6:F6"/>
    <x:mergeCell ref="E7:F8"/>
    <x:mergeCell ref="H6:I6"/>
    <x:mergeCell ref="H7:I8"/>
    <x:mergeCell ref="K6:L6"/>
    <x:mergeCell ref="K7:L8"/>
    <x:mergeCell ref="E10:G10"/>
    <x:mergeCell ref="D12:L12"/>
    <x:mergeCell ref="B36:D36"/>
    <x:mergeCell ref="B38:D39"/>
  </x:mergeCells>
  <x:pageMargins left="0.7" right="0.7" top="0.75" bottom="0.75" header="0.3" footer="0.3"/>
  <x:drawing xmlns:r="http://schemas.openxmlformats.org/officeDocument/2006/relationships" r:id="Rc0b1ffc444ee46fe"/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17" hidden="0" customWidth="1"/>
  </x:cols>
  <x:sheetData>
    <x:row r="1" ht="23" customHeight="1">
      <x:c r="A1" s="130"/>
      <x:c r="B1" s="130"/>
      <x:c r="C1" s="130"/>
      <x:c r="D1" s="130"/>
      <x:c r="E1" s="130"/>
      <x:c r="F1" s="130"/>
      <x:c r="G1" s="130"/>
      <x:c r="H1" s="130"/>
      <x:c r="I1" s="130"/>
      <x:c r="J1" s="130"/>
    </x:row>
    <x:row r="2" ht="23" customHeight="1">
      <x:c r="A2" s="131" t="str">
        <x:v>Current stock and reorder alerts</x:v>
      </x:c>
      <x:c r="B2" s="130"/>
      <x:c r="C2" s="130"/>
      <x:c r="D2" s="130"/>
      <x:c r="E2" s="130"/>
      <x:c r="F2" s="130"/>
      <x:c r="G2" s="130"/>
      <x:c r="H2" s="130"/>
      <x:c r="I2" s="130"/>
      <x:c r="J2" s="130"/>
    </x:row>
    <x:row r="3" ht="23" customHeight="1">
      <x:c r="A3" s="132" t="str">
        <x:v>All-time stock. Resolve transaction input errors before relying on balances. Value uses catalogue unit cost.</x:v>
      </x:c>
      <x:c r="B3" s="130"/>
      <x:c r="C3" s="130"/>
      <x:c r="D3" s="130"/>
      <x:c r="E3" s="130"/>
      <x:c r="F3" s="130"/>
      <x:c r="G3" s="130"/>
      <x:c r="H3" s="130"/>
      <x:c r="I3" s="130"/>
      <x:c r="J3" s="130"/>
    </x:row>
    <x:row r="4" ht="23" customHeight="1">
      <x:c r="A4" s="130"/>
      <x:c r="B4" s="130"/>
      <x:c r="C4" s="130"/>
      <x:c r="D4" s="130"/>
      <x:c r="E4" s="130"/>
      <x:c r="F4" s="130"/>
      <x:c r="G4" s="130"/>
      <x:c r="H4" s="130"/>
      <x:c r="I4" s="130"/>
      <x:c r="J4" s="130"/>
    </x:row>
    <x:row r="5" ht="34" customHeight="1">
      <x:c r="A5" s="24" t="str">
        <x:v>SKU</x:v>
      </x:c>
      <x:c r="B5" s="24" t="str">
        <x:v>Product / variant</x:v>
      </x:c>
      <x:c r="C5" s="24" t="str">
        <x:v>Opening</x:v>
      </x:c>
      <x:c r="D5" s="24" t="str">
        <x:v>Purchased</x:v>
      </x:c>
      <x:c r="E5" s="24" t="str">
        <x:v>Sold</x:v>
      </x:c>
      <x:c r="F5" s="24" t="str">
        <x:v>Adjustments</x:v>
      </x:c>
      <x:c r="G5" s="24" t="str">
        <x:v>In stock</x:v>
      </x:c>
      <x:c r="H5" s="24" t="str">
        <x:v>Reorder level</x:v>
      </x:c>
      <x:c r="I5" s="24" t="str">
        <x:v>Status</x:v>
      </x:c>
      <x:c r="J5" s="24" t="str">
        <x:v>Stock value</x:v>
      </x:c>
    </x:row>
    <x:row r="6" ht="27" customHeight="1">
      <x:c r="A6" s="25" t="str">
        <x:f>IF(Products!A6="","",Products!A6)</x:f>
        <x:v>TS-BLK-M</x:v>
      </x:c>
      <x:c r="B6" s="25" t="str">
        <x:f>IF(A6="","",Products!B6)</x:f>
        <x:v>T-shirt / Black / M</x:v>
      </x:c>
      <x:c r="C6" s="25" t="n">
        <x:f>IF(A6="","",Products!D6)</x:f>
        <x:v>20</x:v>
      </x:c>
      <x:c r="D6" s="25" t="n">
        <x:f>IF(A6="","",SUMIFS(Transactions!$E$6:$E$505,Transactions!$D$6:$D$505,A6,Transactions!$C$6:$C$505,"Purchase",Transactions!$J$6:$J$505,"OK"))</x:f>
        <x:v>10</x:v>
      </x:c>
      <x:c r="E6" s="25" t="n">
        <x:f>IF(A6="","",SUMIFS(Transactions!$E$6:$E$505,Transactions!$D$6:$D$505,A6,Transactions!$C$6:$C$505,"Sale",Transactions!$J$6:$J$505,"OK"))</x:f>
        <x:v>7</x:v>
      </x:c>
      <x:c r="F6" s="25" t="n">
        <x:f>IF(A6="","",SUMIFS(Transactions!$E$6:$E$505,Transactions!$D$6:$D$505,A6,Transactions!$C$6:$C$505,"Adjustment",Transactions!$J$6:$J$505,"OK"))</x:f>
        <x:v>-1</x:v>
      </x:c>
      <x:c r="G6" s="25" t="n">
        <x:f>IF(A6="","",IF(OR(Products!G6&lt;&gt;"OK",(COUNTIFS(Transactions!$J$6:$J$505,"Check inputs")+COUNTIFS(Transactions!$J$6:$J$505,"Check sale amounts"))&gt;0),"Fix inputs",C6+D6-E6+F6))</x:f>
        <x:v>22</x:v>
      </x:c>
      <x:c r="H6" s="25" t="n">
        <x:f>IF(A6="","",Products!F6)</x:f>
        <x:v>5</x:v>
      </x:c>
      <x:c r="I6" s="25" t="str">
        <x:f>IF(A6="","",IF(NOT(ISNUMBER(G6)),"Fix inputs",IF(G6&lt;0,"Negative stock",IF(G6&lt;=H6,"Reorder","In stock"))))</x:f>
        <x:v>In stock</x:v>
      </x:c>
      <x:c r="J6" s="26" t="n">
        <x:f>IF(A6="","",IF(ISNUMBER(G6),G6*Products!E6,"Fix inputs"))</x:f>
        <x:v>6600</x:v>
      </x:c>
    </x:row>
    <x:row r="7" ht="27" customHeight="1">
      <x:c r="A7" s="27" t="str">
        <x:f>IF(Products!A7="","",Products!A7)</x:f>
        <x:v>TS-BLK-L</x:v>
      </x:c>
      <x:c r="B7" s="27" t="str">
        <x:f>IF(A7="","",Products!B7)</x:f>
        <x:v>T-shirt / Black / L</x:v>
      </x:c>
      <x:c r="C7" s="27" t="n">
        <x:f>IF(A7="","",Products!D7)</x:f>
        <x:v>15</x:v>
      </x:c>
      <x:c r="D7" s="27" t="n">
        <x:f>IF(A7="","",SUMIFS(Transactions!$E$6:$E$505,Transactions!$D$6:$D$505,A7,Transactions!$C$6:$C$505,"Purchase",Transactions!$J$6:$J$505,"OK"))</x:f>
        <x:v>0</x:v>
      </x:c>
      <x:c r="E7" s="27" t="n">
        <x:f>IF(A7="","",SUMIFS(Transactions!$E$6:$E$505,Transactions!$D$6:$D$505,A7,Transactions!$C$6:$C$505,"Sale",Transactions!$J$6:$J$505,"OK"))</x:f>
        <x:v>5</x:v>
      </x:c>
      <x:c r="F7" s="27" t="n">
        <x:f>IF(A7="","",SUMIFS(Transactions!$E$6:$E$505,Transactions!$D$6:$D$505,A7,Transactions!$C$6:$C$505,"Adjustment",Transactions!$J$6:$J$505,"OK"))</x:f>
        <x:v>0</x:v>
      </x:c>
      <x:c r="G7" s="27" t="n">
        <x:f>IF(A7="","",IF(OR(Products!G7&lt;&gt;"OK",(COUNTIFS(Transactions!$J$6:$J$505,"Check inputs")+COUNTIFS(Transactions!$J$6:$J$505,"Check sale amounts"))&gt;0),"Fix inputs",C7+D7-E7+F7))</x:f>
        <x:v>10</x:v>
      </x:c>
      <x:c r="H7" s="27" t="n">
        <x:f>IF(A7="","",Products!F7)</x:f>
        <x:v>5</x:v>
      </x:c>
      <x:c r="I7" s="27" t="str">
        <x:f>IF(A7="","",IF(NOT(ISNUMBER(G7)),"Fix inputs",IF(G7&lt;0,"Negative stock",IF(G7&lt;=H7,"Reorder","In stock"))))</x:f>
        <x:v>In stock</x:v>
      </x:c>
      <x:c r="J7" s="28" t="n">
        <x:f>IF(A7="","",IF(ISNUMBER(G7),G7*Products!E7,"Fix inputs"))</x:f>
        <x:v>3000</x:v>
      </x:c>
    </x:row>
    <x:row r="8" ht="27" customHeight="1">
      <x:c r="A8" s="25" t="str">
        <x:f>IF(Products!A8="","",Products!A8)</x:f>
        <x:v>JN-BLU-32</x:v>
      </x:c>
      <x:c r="B8" s="25" t="str">
        <x:f>IF(A8="","",Products!B8)</x:f>
        <x:v>Jeans / Blue / 32</x:v>
      </x:c>
      <x:c r="C8" s="25" t="n">
        <x:f>IF(A8="","",Products!D8)</x:f>
        <x:v>12</x:v>
      </x:c>
      <x:c r="D8" s="25" t="n">
        <x:f>IF(A8="","",SUMIFS(Transactions!$E$6:$E$505,Transactions!$D$6:$D$505,A8,Transactions!$C$6:$C$505,"Purchase",Transactions!$J$6:$J$505,"OK"))</x:f>
        <x:v>5</x:v>
      </x:c>
      <x:c r="E8" s="25" t="n">
        <x:f>IF(A8="","",SUMIFS(Transactions!$E$6:$E$505,Transactions!$D$6:$D$505,A8,Transactions!$C$6:$C$505,"Sale",Transactions!$J$6:$J$505,"OK"))</x:f>
        <x:v>3</x:v>
      </x:c>
      <x:c r="F8" s="25" t="n">
        <x:f>IF(A8="","",SUMIFS(Transactions!$E$6:$E$505,Transactions!$D$6:$D$505,A8,Transactions!$C$6:$C$505,"Adjustment",Transactions!$J$6:$J$505,"OK"))</x:f>
        <x:v>0</x:v>
      </x:c>
      <x:c r="G8" s="25" t="n">
        <x:f>IF(A8="","",IF(OR(Products!G8&lt;&gt;"OK",(COUNTIFS(Transactions!$J$6:$J$505,"Check inputs")+COUNTIFS(Transactions!$J$6:$J$505,"Check sale amounts"))&gt;0),"Fix inputs",C8+D8-E8+F8))</x:f>
        <x:v>14</x:v>
      </x:c>
      <x:c r="H8" s="25" t="n">
        <x:f>IF(A8="","",Products!F8)</x:f>
        <x:v>4</x:v>
      </x:c>
      <x:c r="I8" s="25" t="str">
        <x:f>IF(A8="","",IF(NOT(ISNUMBER(G8)),"Fix inputs",IF(G8&lt;0,"Negative stock",IF(G8&lt;=H8,"Reorder","In stock"))))</x:f>
        <x:v>In stock</x:v>
      </x:c>
      <x:c r="J8" s="26" t="n">
        <x:f>IF(A8="","",IF(ISNUMBER(G8),G8*Products!E8,"Fix inputs"))</x:f>
        <x:v>11200</x:v>
      </x:c>
    </x:row>
    <x:row r="9" ht="27" customHeight="1">
      <x:c r="A9" s="27" t="str">
        <x:f>IF(Products!A9="","",Products!A9)</x:f>
        <x:v>HD-GRY-M</x:v>
      </x:c>
      <x:c r="B9" s="27" t="str">
        <x:f>IF(A9="","",Products!B9)</x:f>
        <x:v>Hoodie / Grey / M</x:v>
      </x:c>
      <x:c r="C9" s="27" t="n">
        <x:f>IF(A9="","",Products!D9)</x:f>
        <x:v>8</x:v>
      </x:c>
      <x:c r="D9" s="27" t="n">
        <x:f>IF(A9="","",SUMIFS(Transactions!$E$6:$E$505,Transactions!$D$6:$D$505,A9,Transactions!$C$6:$C$505,"Purchase",Transactions!$J$6:$J$505,"OK"))</x:f>
        <x:v>0</x:v>
      </x:c>
      <x:c r="E9" s="27" t="n">
        <x:f>IF(A9="","",SUMIFS(Transactions!$E$6:$E$505,Transactions!$D$6:$D$505,A9,Transactions!$C$6:$C$505,"Sale",Transactions!$J$6:$J$505,"OK"))</x:f>
        <x:v>6</x:v>
      </x:c>
      <x:c r="F9" s="27" t="n">
        <x:f>IF(A9="","",SUMIFS(Transactions!$E$6:$E$505,Transactions!$D$6:$D$505,A9,Transactions!$C$6:$C$505,"Adjustment",Transactions!$J$6:$J$505,"OK"))</x:f>
        <x:v>0</x:v>
      </x:c>
      <x:c r="G9" s="27" t="n">
        <x:f>IF(A9="","",IF(OR(Products!G9&lt;&gt;"OK",(COUNTIFS(Transactions!$J$6:$J$505,"Check inputs")+COUNTIFS(Transactions!$J$6:$J$505,"Check sale amounts"))&gt;0),"Fix inputs",C9+D9-E9+F9))</x:f>
        <x:v>2</x:v>
      </x:c>
      <x:c r="H9" s="27" t="n">
        <x:f>IF(A9="","",Products!F9)</x:f>
        <x:v>3</x:v>
      </x:c>
      <x:c r="I9" s="27" t="str">
        <x:f>IF(A9="","",IF(NOT(ISNUMBER(G9)),"Fix inputs",IF(G9&lt;0,"Negative stock",IF(G9&lt;=H9,"Reorder","In stock"))))</x:f>
        <x:v>Reorder</x:v>
      </x:c>
      <x:c r="J9" s="28" t="n">
        <x:f>IF(A9="","",IF(ISNUMBER(G9),G9*Products!E9,"Fix inputs"))</x:f>
        <x:v>1300</x:v>
      </x:c>
    </x:row>
    <x:row r="10" ht="27" customHeight="1">
      <x:c r="A10" s="25" t="str">
        <x:f>IF(Products!A10="","",Products!A10)</x:f>
        <x:v>DR-FLR-S</x:v>
      </x:c>
      <x:c r="B10" s="25" t="str">
        <x:f>IF(A10="","",Products!B10)</x:f>
        <x:v>Dress / Floral / S</x:v>
      </x:c>
      <x:c r="C10" s="25" t="n">
        <x:f>IF(A10="","",Products!D10)</x:f>
        <x:v>6</x:v>
      </x:c>
      <x:c r="D10" s="25" t="n">
        <x:f>IF(A10="","",SUMIFS(Transactions!$E$6:$E$505,Transactions!$D$6:$D$505,A10,Transactions!$C$6:$C$505,"Purchase",Transactions!$J$6:$J$505,"OK"))</x:f>
        <x:v>0</x:v>
      </x:c>
      <x:c r="E10" s="25" t="n">
        <x:f>IF(A10="","",SUMIFS(Transactions!$E$6:$E$505,Transactions!$D$6:$D$505,A10,Transactions!$C$6:$C$505,"Sale",Transactions!$J$6:$J$505,"OK"))</x:f>
        <x:v>4</x:v>
      </x:c>
      <x:c r="F10" s="25" t="n">
        <x:f>IF(A10="","",SUMIFS(Transactions!$E$6:$E$505,Transactions!$D$6:$D$505,A10,Transactions!$C$6:$C$505,"Adjustment",Transactions!$J$6:$J$505,"OK"))</x:f>
        <x:v>0</x:v>
      </x:c>
      <x:c r="G10" s="25" t="n">
        <x:f>IF(A10="","",IF(OR(Products!G10&lt;&gt;"OK",(COUNTIFS(Transactions!$J$6:$J$505,"Check inputs")+COUNTIFS(Transactions!$J$6:$J$505,"Check sale amounts"))&gt;0),"Fix inputs",C10+D10-E10+F10))</x:f>
        <x:v>2</x:v>
      </x:c>
      <x:c r="H10" s="25" t="n">
        <x:f>IF(A10="","",Products!F10)</x:f>
        <x:v>3</x:v>
      </x:c>
      <x:c r="I10" s="25" t="str">
        <x:f>IF(A10="","",IF(NOT(ISNUMBER(G10)),"Fix inputs",IF(G10&lt;0,"Negative stock",IF(G10&lt;=H10,"Reorder","In stock"))))</x:f>
        <x:v>Reorder</x:v>
      </x:c>
      <x:c r="J10" s="26" t="n">
        <x:f>IF(A10="","",IF(ISNUMBER(G10),G10*Products!E10,"Fix inputs"))</x:f>
        <x:v>1400</x:v>
      </x:c>
    </x:row>
    <x:row r="11" ht="27" customHeight="1">
      <x:c r="A11" s="27" t="str">
        <x:f>IF(Products!A11="","",Products!A11)</x:f>
        <x:v>SH-WHT-M</x:v>
      </x:c>
      <x:c r="B11" s="27" t="str">
        <x:f>IF(A11="","",Products!B11)</x:f>
        <x:v>Shirt / White / M</x:v>
      </x:c>
      <x:c r="C11" s="27" t="n">
        <x:f>IF(A11="","",Products!D11)</x:f>
        <x:v>10</x:v>
      </x:c>
      <x:c r="D11" s="27" t="n">
        <x:f>IF(A11="","",SUMIFS(Transactions!$E$6:$E$505,Transactions!$D$6:$D$505,A11,Transactions!$C$6:$C$505,"Purchase",Transactions!$J$6:$J$505,"OK"))</x:f>
        <x:v>0</x:v>
      </x:c>
      <x:c r="E11" s="27" t="n">
        <x:f>IF(A11="","",SUMIFS(Transactions!$E$6:$E$505,Transactions!$D$6:$D$505,A11,Transactions!$C$6:$C$505,"Sale",Transactions!$J$6:$J$505,"OK"))</x:f>
        <x:v>7</x:v>
      </x:c>
      <x:c r="F11" s="27" t="n">
        <x:f>IF(A11="","",SUMIFS(Transactions!$E$6:$E$505,Transactions!$D$6:$D$505,A11,Transactions!$C$6:$C$505,"Adjustment",Transactions!$J$6:$J$505,"OK"))</x:f>
        <x:v>0</x:v>
      </x:c>
      <x:c r="G11" s="27" t="n">
        <x:f>IF(A11="","",IF(OR(Products!G11&lt;&gt;"OK",(COUNTIFS(Transactions!$J$6:$J$505,"Check inputs")+COUNTIFS(Transactions!$J$6:$J$505,"Check sale amounts"))&gt;0),"Fix inputs",C11+D11-E11+F11))</x:f>
        <x:v>3</x:v>
      </x:c>
      <x:c r="H11" s="27" t="n">
        <x:f>IF(A11="","",Products!F11)</x:f>
        <x:v>4</x:v>
      </x:c>
      <x:c r="I11" s="27" t="str">
        <x:f>IF(A11="","",IF(NOT(ISNUMBER(G11)),"Fix inputs",IF(G11&lt;0,"Negative stock",IF(G11&lt;=H11,"Reorder","In stock"))))</x:f>
        <x:v>Reorder</x:v>
      </x:c>
      <x:c r="J11" s="28" t="n">
        <x:f>IF(A11="","",IF(ISNUMBER(G11),G11*Products!E11,"Fix inputs"))</x:f>
        <x:v>1500</x:v>
      </x:c>
    </x:row>
    <x:row r="12" ht="27" customHeight="1">
      <x:c r="A12" s="25" t="str">
        <x:f>IF(Products!A12="","",Products!A12)</x:f>
      </x:c>
      <x:c r="B12" s="25" t="str">
        <x:f>IF(A12="","",Products!B12)</x:f>
      </x:c>
      <x:c r="C12" s="25" t="str">
        <x:f>IF(A12="","",Products!D12)</x:f>
      </x:c>
      <x:c r="D12" s="25" t="str">
        <x:f>IF(A12="","",SUMIFS(Transactions!$E$6:$E$505,Transactions!$D$6:$D$505,A12,Transactions!$C$6:$C$505,"Purchase",Transactions!$J$6:$J$505,"OK"))</x:f>
      </x:c>
      <x:c r="E12" s="25" t="str">
        <x:f>IF(A12="","",SUMIFS(Transactions!$E$6:$E$505,Transactions!$D$6:$D$505,A12,Transactions!$C$6:$C$505,"Sale",Transactions!$J$6:$J$505,"OK"))</x:f>
      </x:c>
      <x:c r="F12" s="25" t="str">
        <x:f>IF(A12="","",SUMIFS(Transactions!$E$6:$E$505,Transactions!$D$6:$D$505,A12,Transactions!$C$6:$C$505,"Adjustment",Transactions!$J$6:$J$505,"OK"))</x:f>
      </x:c>
      <x:c r="G12" s="25" t="str">
        <x:f>IF(A12="","",IF(OR(Products!G12&lt;&gt;"OK",(COUNTIFS(Transactions!$J$6:$J$505,"Check inputs")+COUNTIFS(Transactions!$J$6:$J$505,"Check sale amounts"))&gt;0),"Fix inputs",C12+D12-E12+F12))</x:f>
      </x:c>
      <x:c r="H12" s="25" t="str">
        <x:f>IF(A12="","",Products!F12)</x:f>
      </x:c>
      <x:c r="I12" s="25" t="str">
        <x:f>IF(A12="","",IF(NOT(ISNUMBER(G12)),"Fix inputs",IF(G12&lt;0,"Negative stock",IF(G12&lt;=H12,"Reorder","In stock"))))</x:f>
      </x:c>
      <x:c r="J12" s="26" t="str">
        <x:f>IF(A12="","",IF(ISNUMBER(G12),G12*Products!E12,"Fix inputs"))</x:f>
      </x:c>
    </x:row>
    <x:row r="13" ht="27" customHeight="1">
      <x:c r="A13" s="27" t="str">
        <x:f>IF(Products!A13="","",Products!A13)</x:f>
      </x:c>
      <x:c r="B13" s="27" t="str">
        <x:f>IF(A13="","",Products!B13)</x:f>
      </x:c>
      <x:c r="C13" s="27" t="str">
        <x:f>IF(A13="","",Products!D13)</x:f>
      </x:c>
      <x:c r="D13" s="27" t="str">
        <x:f>IF(A13="","",SUMIFS(Transactions!$E$6:$E$505,Transactions!$D$6:$D$505,A13,Transactions!$C$6:$C$505,"Purchase",Transactions!$J$6:$J$505,"OK"))</x:f>
      </x:c>
      <x:c r="E13" s="27" t="str">
        <x:f>IF(A13="","",SUMIFS(Transactions!$E$6:$E$505,Transactions!$D$6:$D$505,A13,Transactions!$C$6:$C$505,"Sale",Transactions!$J$6:$J$505,"OK"))</x:f>
      </x:c>
      <x:c r="F13" s="27" t="str">
        <x:f>IF(A13="","",SUMIFS(Transactions!$E$6:$E$505,Transactions!$D$6:$D$505,A13,Transactions!$C$6:$C$505,"Adjustment",Transactions!$J$6:$J$505,"OK"))</x:f>
      </x:c>
      <x:c r="G13" s="27" t="str">
        <x:f>IF(A13="","",IF(OR(Products!G13&lt;&gt;"OK",(COUNTIFS(Transactions!$J$6:$J$505,"Check inputs")+COUNTIFS(Transactions!$J$6:$J$505,"Check sale amounts"))&gt;0),"Fix inputs",C13+D13-E13+F13))</x:f>
      </x:c>
      <x:c r="H13" s="27" t="str">
        <x:f>IF(A13="","",Products!F13)</x:f>
      </x:c>
      <x:c r="I13" s="27" t="str">
        <x:f>IF(A13="","",IF(NOT(ISNUMBER(G13)),"Fix inputs",IF(G13&lt;0,"Negative stock",IF(G13&lt;=H13,"Reorder","In stock"))))</x:f>
      </x:c>
      <x:c r="J13" s="28" t="str">
        <x:f>IF(A13="","",IF(ISNUMBER(G13),G13*Products!E13,"Fix inputs"))</x:f>
      </x:c>
    </x:row>
    <x:row r="14" ht="27" customHeight="1">
      <x:c r="A14" s="25" t="str">
        <x:f>IF(Products!A14="","",Products!A14)</x:f>
      </x:c>
      <x:c r="B14" s="25" t="str">
        <x:f>IF(A14="","",Products!B14)</x:f>
      </x:c>
      <x:c r="C14" s="25" t="str">
        <x:f>IF(A14="","",Products!D14)</x:f>
      </x:c>
      <x:c r="D14" s="25" t="str">
        <x:f>IF(A14="","",SUMIFS(Transactions!$E$6:$E$505,Transactions!$D$6:$D$505,A14,Transactions!$C$6:$C$505,"Purchase",Transactions!$J$6:$J$505,"OK"))</x:f>
      </x:c>
      <x:c r="E14" s="25" t="str">
        <x:f>IF(A14="","",SUMIFS(Transactions!$E$6:$E$505,Transactions!$D$6:$D$505,A14,Transactions!$C$6:$C$505,"Sale",Transactions!$J$6:$J$505,"OK"))</x:f>
      </x:c>
      <x:c r="F14" s="25" t="str">
        <x:f>IF(A14="","",SUMIFS(Transactions!$E$6:$E$505,Transactions!$D$6:$D$505,A14,Transactions!$C$6:$C$505,"Adjustment",Transactions!$J$6:$J$505,"OK"))</x:f>
      </x:c>
      <x:c r="G14" s="25" t="str">
        <x:f>IF(A14="","",IF(OR(Products!G14&lt;&gt;"OK",(COUNTIFS(Transactions!$J$6:$J$505,"Check inputs")+COUNTIFS(Transactions!$J$6:$J$505,"Check sale amounts"))&gt;0),"Fix inputs",C14+D14-E14+F14))</x:f>
      </x:c>
      <x:c r="H14" s="25" t="str">
        <x:f>IF(A14="","",Products!F14)</x:f>
      </x:c>
      <x:c r="I14" s="25" t="str">
        <x:f>IF(A14="","",IF(NOT(ISNUMBER(G14)),"Fix inputs",IF(G14&lt;0,"Negative stock",IF(G14&lt;=H14,"Reorder","In stock"))))</x:f>
      </x:c>
      <x:c r="J14" s="26" t="str">
        <x:f>IF(A14="","",IF(ISNUMBER(G14),G14*Products!E14,"Fix inputs"))</x:f>
      </x:c>
    </x:row>
    <x:row r="15" ht="27" customHeight="1">
      <x:c r="A15" s="27" t="str">
        <x:f>IF(Products!A15="","",Products!A15)</x:f>
      </x:c>
      <x:c r="B15" s="27" t="str">
        <x:f>IF(A15="","",Products!B15)</x:f>
      </x:c>
      <x:c r="C15" s="27" t="str">
        <x:f>IF(A15="","",Products!D15)</x:f>
      </x:c>
      <x:c r="D15" s="27" t="str">
        <x:f>IF(A15="","",SUMIFS(Transactions!$E$6:$E$505,Transactions!$D$6:$D$505,A15,Transactions!$C$6:$C$505,"Purchase",Transactions!$J$6:$J$505,"OK"))</x:f>
      </x:c>
      <x:c r="E15" s="27" t="str">
        <x:f>IF(A15="","",SUMIFS(Transactions!$E$6:$E$505,Transactions!$D$6:$D$505,A15,Transactions!$C$6:$C$505,"Sale",Transactions!$J$6:$J$505,"OK"))</x:f>
      </x:c>
      <x:c r="F15" s="27" t="str">
        <x:f>IF(A15="","",SUMIFS(Transactions!$E$6:$E$505,Transactions!$D$6:$D$505,A15,Transactions!$C$6:$C$505,"Adjustment",Transactions!$J$6:$J$505,"OK"))</x:f>
      </x:c>
      <x:c r="G15" s="27" t="str">
        <x:f>IF(A15="","",IF(OR(Products!G15&lt;&gt;"OK",(COUNTIFS(Transactions!$J$6:$J$505,"Check inputs")+COUNTIFS(Transactions!$J$6:$J$505,"Check sale amounts"))&gt;0),"Fix inputs",C15+D15-E15+F15))</x:f>
      </x:c>
      <x:c r="H15" s="27" t="str">
        <x:f>IF(A15="","",Products!F15)</x:f>
      </x:c>
      <x:c r="I15" s="27" t="str">
        <x:f>IF(A15="","",IF(NOT(ISNUMBER(G15)),"Fix inputs",IF(G15&lt;0,"Negative stock",IF(G15&lt;=H15,"Reorder","In stock"))))</x:f>
      </x:c>
      <x:c r="J15" s="28" t="str">
        <x:f>IF(A15="","",IF(ISNUMBER(G15),G15*Products!E15,"Fix inputs"))</x:f>
      </x:c>
    </x:row>
    <x:row r="16" ht="27" customHeight="1">
      <x:c r="A16" s="25" t="str">
        <x:f>IF(Products!A16="","",Products!A16)</x:f>
      </x:c>
      <x:c r="B16" s="25" t="str">
        <x:f>IF(A16="","",Products!B16)</x:f>
      </x:c>
      <x:c r="C16" s="25" t="str">
        <x:f>IF(A16="","",Products!D16)</x:f>
      </x:c>
      <x:c r="D16" s="25" t="str">
        <x:f>IF(A16="","",SUMIFS(Transactions!$E$6:$E$505,Transactions!$D$6:$D$505,A16,Transactions!$C$6:$C$505,"Purchase",Transactions!$J$6:$J$505,"OK"))</x:f>
      </x:c>
      <x:c r="E16" s="25" t="str">
        <x:f>IF(A16="","",SUMIFS(Transactions!$E$6:$E$505,Transactions!$D$6:$D$505,A16,Transactions!$C$6:$C$505,"Sale",Transactions!$J$6:$J$505,"OK"))</x:f>
      </x:c>
      <x:c r="F16" s="25" t="str">
        <x:f>IF(A16="","",SUMIFS(Transactions!$E$6:$E$505,Transactions!$D$6:$D$505,A16,Transactions!$C$6:$C$505,"Adjustment",Transactions!$J$6:$J$505,"OK"))</x:f>
      </x:c>
      <x:c r="G16" s="25" t="str">
        <x:f>IF(A16="","",IF(OR(Products!G16&lt;&gt;"OK",(COUNTIFS(Transactions!$J$6:$J$505,"Check inputs")+COUNTIFS(Transactions!$J$6:$J$505,"Check sale amounts"))&gt;0),"Fix inputs",C16+D16-E16+F16))</x:f>
      </x:c>
      <x:c r="H16" s="25" t="str">
        <x:f>IF(A16="","",Products!F16)</x:f>
      </x:c>
      <x:c r="I16" s="25" t="str">
        <x:f>IF(A16="","",IF(NOT(ISNUMBER(G16)),"Fix inputs",IF(G16&lt;0,"Negative stock",IF(G16&lt;=H16,"Reorder","In stock"))))</x:f>
      </x:c>
      <x:c r="J16" s="26" t="str">
        <x:f>IF(A16="","",IF(ISNUMBER(G16),G16*Products!E16,"Fix inputs"))</x:f>
      </x:c>
    </x:row>
    <x:row r="17" ht="27" customHeight="1">
      <x:c r="A17" s="27" t="str">
        <x:f>IF(Products!A17="","",Products!A17)</x:f>
      </x:c>
      <x:c r="B17" s="27" t="str">
        <x:f>IF(A17="","",Products!B17)</x:f>
      </x:c>
      <x:c r="C17" s="27" t="str">
        <x:f>IF(A17="","",Products!D17)</x:f>
      </x:c>
      <x:c r="D17" s="27" t="str">
        <x:f>IF(A17="","",SUMIFS(Transactions!$E$6:$E$505,Transactions!$D$6:$D$505,A17,Transactions!$C$6:$C$505,"Purchase",Transactions!$J$6:$J$505,"OK"))</x:f>
      </x:c>
      <x:c r="E17" s="27" t="str">
        <x:f>IF(A17="","",SUMIFS(Transactions!$E$6:$E$505,Transactions!$D$6:$D$505,A17,Transactions!$C$6:$C$505,"Sale",Transactions!$J$6:$J$505,"OK"))</x:f>
      </x:c>
      <x:c r="F17" s="27" t="str">
        <x:f>IF(A17="","",SUMIFS(Transactions!$E$6:$E$505,Transactions!$D$6:$D$505,A17,Transactions!$C$6:$C$505,"Adjustment",Transactions!$J$6:$J$505,"OK"))</x:f>
      </x:c>
      <x:c r="G17" s="27" t="str">
        <x:f>IF(A17="","",IF(OR(Products!G17&lt;&gt;"OK",(COUNTIFS(Transactions!$J$6:$J$505,"Check inputs")+COUNTIFS(Transactions!$J$6:$J$505,"Check sale amounts"))&gt;0),"Fix inputs",C17+D17-E17+F17))</x:f>
      </x:c>
      <x:c r="H17" s="27" t="str">
        <x:f>IF(A17="","",Products!F17)</x:f>
      </x:c>
      <x:c r="I17" s="27" t="str">
        <x:f>IF(A17="","",IF(NOT(ISNUMBER(G17)),"Fix inputs",IF(G17&lt;0,"Negative stock",IF(G17&lt;=H17,"Reorder","In stock"))))</x:f>
      </x:c>
      <x:c r="J17" s="28" t="str">
        <x:f>IF(A17="","",IF(ISNUMBER(G17),G17*Products!E17,"Fix inputs"))</x:f>
      </x:c>
    </x:row>
    <x:row r="18" ht="27" customHeight="1">
      <x:c r="A18" s="25" t="str">
        <x:f>IF(Products!A18="","",Products!A18)</x:f>
      </x:c>
      <x:c r="B18" s="25" t="str">
        <x:f>IF(A18="","",Products!B18)</x:f>
      </x:c>
      <x:c r="C18" s="25" t="str">
        <x:f>IF(A18="","",Products!D18)</x:f>
      </x:c>
      <x:c r="D18" s="25" t="str">
        <x:f>IF(A18="","",SUMIFS(Transactions!$E$6:$E$505,Transactions!$D$6:$D$505,A18,Transactions!$C$6:$C$505,"Purchase",Transactions!$J$6:$J$505,"OK"))</x:f>
      </x:c>
      <x:c r="E18" s="25" t="str">
        <x:f>IF(A18="","",SUMIFS(Transactions!$E$6:$E$505,Transactions!$D$6:$D$505,A18,Transactions!$C$6:$C$505,"Sale",Transactions!$J$6:$J$505,"OK"))</x:f>
      </x:c>
      <x:c r="F18" s="25" t="str">
        <x:f>IF(A18="","",SUMIFS(Transactions!$E$6:$E$505,Transactions!$D$6:$D$505,A18,Transactions!$C$6:$C$505,"Adjustment",Transactions!$J$6:$J$505,"OK"))</x:f>
      </x:c>
      <x:c r="G18" s="25" t="str">
        <x:f>IF(A18="","",IF(OR(Products!G18&lt;&gt;"OK",(COUNTIFS(Transactions!$J$6:$J$505,"Check inputs")+COUNTIFS(Transactions!$J$6:$J$505,"Check sale amounts"))&gt;0),"Fix inputs",C18+D18-E18+F18))</x:f>
      </x:c>
      <x:c r="H18" s="25" t="str">
        <x:f>IF(A18="","",Products!F18)</x:f>
      </x:c>
      <x:c r="I18" s="25" t="str">
        <x:f>IF(A18="","",IF(NOT(ISNUMBER(G18)),"Fix inputs",IF(G18&lt;0,"Negative stock",IF(G18&lt;=H18,"Reorder","In stock"))))</x:f>
      </x:c>
      <x:c r="J18" s="26" t="str">
        <x:f>IF(A18="","",IF(ISNUMBER(G18),G18*Products!E18,"Fix inputs"))</x:f>
      </x:c>
    </x:row>
    <x:row r="19" ht="27" customHeight="1">
      <x:c r="A19" s="27" t="str">
        <x:f>IF(Products!A19="","",Products!A19)</x:f>
      </x:c>
      <x:c r="B19" s="27" t="str">
        <x:f>IF(A19="","",Products!B19)</x:f>
      </x:c>
      <x:c r="C19" s="27" t="str">
        <x:f>IF(A19="","",Products!D19)</x:f>
      </x:c>
      <x:c r="D19" s="27" t="str">
        <x:f>IF(A19="","",SUMIFS(Transactions!$E$6:$E$505,Transactions!$D$6:$D$505,A19,Transactions!$C$6:$C$505,"Purchase",Transactions!$J$6:$J$505,"OK"))</x:f>
      </x:c>
      <x:c r="E19" s="27" t="str">
        <x:f>IF(A19="","",SUMIFS(Transactions!$E$6:$E$505,Transactions!$D$6:$D$505,A19,Transactions!$C$6:$C$505,"Sale",Transactions!$J$6:$J$505,"OK"))</x:f>
      </x:c>
      <x:c r="F19" s="27" t="str">
        <x:f>IF(A19="","",SUMIFS(Transactions!$E$6:$E$505,Transactions!$D$6:$D$505,A19,Transactions!$C$6:$C$505,"Adjustment",Transactions!$J$6:$J$505,"OK"))</x:f>
      </x:c>
      <x:c r="G19" s="27" t="str">
        <x:f>IF(A19="","",IF(OR(Products!G19&lt;&gt;"OK",(COUNTIFS(Transactions!$J$6:$J$505,"Check inputs")+COUNTIFS(Transactions!$J$6:$J$505,"Check sale amounts"))&gt;0),"Fix inputs",C19+D19-E19+F19))</x:f>
      </x:c>
      <x:c r="H19" s="27" t="str">
        <x:f>IF(A19="","",Products!F19)</x:f>
      </x:c>
      <x:c r="I19" s="27" t="str">
        <x:f>IF(A19="","",IF(NOT(ISNUMBER(G19)),"Fix inputs",IF(G19&lt;0,"Negative stock",IF(G19&lt;=H19,"Reorder","In stock"))))</x:f>
      </x:c>
      <x:c r="J19" s="28" t="str">
        <x:f>IF(A19="","",IF(ISNUMBER(G19),G19*Products!E19,"Fix inputs"))</x:f>
      </x:c>
    </x:row>
    <x:row r="20" ht="27" customHeight="1">
      <x:c r="A20" s="25" t="str">
        <x:f>IF(Products!A20="","",Products!A20)</x:f>
      </x:c>
      <x:c r="B20" s="25" t="str">
        <x:f>IF(A20="","",Products!B20)</x:f>
      </x:c>
      <x:c r="C20" s="25" t="str">
        <x:f>IF(A20="","",Products!D20)</x:f>
      </x:c>
      <x:c r="D20" s="25" t="str">
        <x:f>IF(A20="","",SUMIFS(Transactions!$E$6:$E$505,Transactions!$D$6:$D$505,A20,Transactions!$C$6:$C$505,"Purchase",Transactions!$J$6:$J$505,"OK"))</x:f>
      </x:c>
      <x:c r="E20" s="25" t="str">
        <x:f>IF(A20="","",SUMIFS(Transactions!$E$6:$E$505,Transactions!$D$6:$D$505,A20,Transactions!$C$6:$C$505,"Sale",Transactions!$J$6:$J$505,"OK"))</x:f>
      </x:c>
      <x:c r="F20" s="25" t="str">
        <x:f>IF(A20="","",SUMIFS(Transactions!$E$6:$E$505,Transactions!$D$6:$D$505,A20,Transactions!$C$6:$C$505,"Adjustment",Transactions!$J$6:$J$505,"OK"))</x:f>
      </x:c>
      <x:c r="G20" s="25" t="str">
        <x:f>IF(A20="","",IF(OR(Products!G20&lt;&gt;"OK",(COUNTIFS(Transactions!$J$6:$J$505,"Check inputs")+COUNTIFS(Transactions!$J$6:$J$505,"Check sale amounts"))&gt;0),"Fix inputs",C20+D20-E20+F20))</x:f>
      </x:c>
      <x:c r="H20" s="25" t="str">
        <x:f>IF(A20="","",Products!F20)</x:f>
      </x:c>
      <x:c r="I20" s="25" t="str">
        <x:f>IF(A20="","",IF(NOT(ISNUMBER(G20)),"Fix inputs",IF(G20&lt;0,"Negative stock",IF(G20&lt;=H20,"Reorder","In stock"))))</x:f>
      </x:c>
      <x:c r="J20" s="26" t="str">
        <x:f>IF(A20="","",IF(ISNUMBER(G20),G20*Products!E20,"Fix inputs"))</x:f>
      </x:c>
    </x:row>
    <x:row r="21" ht="27" customHeight="1">
      <x:c r="A21" s="27" t="str">
        <x:f>IF(Products!A21="","",Products!A21)</x:f>
      </x:c>
      <x:c r="B21" s="27" t="str">
        <x:f>IF(A21="","",Products!B21)</x:f>
      </x:c>
      <x:c r="C21" s="27" t="str">
        <x:f>IF(A21="","",Products!D21)</x:f>
      </x:c>
      <x:c r="D21" s="27" t="str">
        <x:f>IF(A21="","",SUMIFS(Transactions!$E$6:$E$505,Transactions!$D$6:$D$505,A21,Transactions!$C$6:$C$505,"Purchase",Transactions!$J$6:$J$505,"OK"))</x:f>
      </x:c>
      <x:c r="E21" s="27" t="str">
        <x:f>IF(A21="","",SUMIFS(Transactions!$E$6:$E$505,Transactions!$D$6:$D$505,A21,Transactions!$C$6:$C$505,"Sale",Transactions!$J$6:$J$505,"OK"))</x:f>
      </x:c>
      <x:c r="F21" s="27" t="str">
        <x:f>IF(A21="","",SUMIFS(Transactions!$E$6:$E$505,Transactions!$D$6:$D$505,A21,Transactions!$C$6:$C$505,"Adjustment",Transactions!$J$6:$J$505,"OK"))</x:f>
      </x:c>
      <x:c r="G21" s="27" t="str">
        <x:f>IF(A21="","",IF(OR(Products!G21&lt;&gt;"OK",(COUNTIFS(Transactions!$J$6:$J$505,"Check inputs")+COUNTIFS(Transactions!$J$6:$J$505,"Check sale amounts"))&gt;0),"Fix inputs",C21+D21-E21+F21))</x:f>
      </x:c>
      <x:c r="H21" s="27" t="str">
        <x:f>IF(A21="","",Products!F21)</x:f>
      </x:c>
      <x:c r="I21" s="27" t="str">
        <x:f>IF(A21="","",IF(NOT(ISNUMBER(G21)),"Fix inputs",IF(G21&lt;0,"Negative stock",IF(G21&lt;=H21,"Reorder","In stock"))))</x:f>
      </x:c>
      <x:c r="J21" s="28" t="str">
        <x:f>IF(A21="","",IF(ISNUMBER(G21),G21*Products!E21,"Fix inputs"))</x:f>
      </x:c>
    </x:row>
    <x:row r="22" ht="27" customHeight="1">
      <x:c r="A22" s="25" t="str">
        <x:f>IF(Products!A22="","",Products!A22)</x:f>
      </x:c>
      <x:c r="B22" s="25" t="str">
        <x:f>IF(A22="","",Products!B22)</x:f>
      </x:c>
      <x:c r="C22" s="25" t="str">
        <x:f>IF(A22="","",Products!D22)</x:f>
      </x:c>
      <x:c r="D22" s="25" t="str">
        <x:f>IF(A22="","",SUMIFS(Transactions!$E$6:$E$505,Transactions!$D$6:$D$505,A22,Transactions!$C$6:$C$505,"Purchase",Transactions!$J$6:$J$505,"OK"))</x:f>
      </x:c>
      <x:c r="E22" s="25" t="str">
        <x:f>IF(A22="","",SUMIFS(Transactions!$E$6:$E$505,Transactions!$D$6:$D$505,A22,Transactions!$C$6:$C$505,"Sale",Transactions!$J$6:$J$505,"OK"))</x:f>
      </x:c>
      <x:c r="F22" s="25" t="str">
        <x:f>IF(A22="","",SUMIFS(Transactions!$E$6:$E$505,Transactions!$D$6:$D$505,A22,Transactions!$C$6:$C$505,"Adjustment",Transactions!$J$6:$J$505,"OK"))</x:f>
      </x:c>
      <x:c r="G22" s="25" t="str">
        <x:f>IF(A22="","",IF(OR(Products!G22&lt;&gt;"OK",(COUNTIFS(Transactions!$J$6:$J$505,"Check inputs")+COUNTIFS(Transactions!$J$6:$J$505,"Check sale amounts"))&gt;0),"Fix inputs",C22+D22-E22+F22))</x:f>
      </x:c>
      <x:c r="H22" s="25" t="str">
        <x:f>IF(A22="","",Products!F22)</x:f>
      </x:c>
      <x:c r="I22" s="25" t="str">
        <x:f>IF(A22="","",IF(NOT(ISNUMBER(G22)),"Fix inputs",IF(G22&lt;0,"Negative stock",IF(G22&lt;=H22,"Reorder","In stock"))))</x:f>
      </x:c>
      <x:c r="J22" s="26" t="str">
        <x:f>IF(A22="","",IF(ISNUMBER(G22),G22*Products!E22,"Fix inputs"))</x:f>
      </x:c>
    </x:row>
    <x:row r="23" ht="27" customHeight="1">
      <x:c r="A23" s="27" t="str">
        <x:f>IF(Products!A23="","",Products!A23)</x:f>
      </x:c>
      <x:c r="B23" s="27" t="str">
        <x:f>IF(A23="","",Products!B23)</x:f>
      </x:c>
      <x:c r="C23" s="27" t="str">
        <x:f>IF(A23="","",Products!D23)</x:f>
      </x:c>
      <x:c r="D23" s="27" t="str">
        <x:f>IF(A23="","",SUMIFS(Transactions!$E$6:$E$505,Transactions!$D$6:$D$505,A23,Transactions!$C$6:$C$505,"Purchase",Transactions!$J$6:$J$505,"OK"))</x:f>
      </x:c>
      <x:c r="E23" s="27" t="str">
        <x:f>IF(A23="","",SUMIFS(Transactions!$E$6:$E$505,Transactions!$D$6:$D$505,A23,Transactions!$C$6:$C$505,"Sale",Transactions!$J$6:$J$505,"OK"))</x:f>
      </x:c>
      <x:c r="F23" s="27" t="str">
        <x:f>IF(A23="","",SUMIFS(Transactions!$E$6:$E$505,Transactions!$D$6:$D$505,A23,Transactions!$C$6:$C$505,"Adjustment",Transactions!$J$6:$J$505,"OK"))</x:f>
      </x:c>
      <x:c r="G23" s="27" t="str">
        <x:f>IF(A23="","",IF(OR(Products!G23&lt;&gt;"OK",(COUNTIFS(Transactions!$J$6:$J$505,"Check inputs")+COUNTIFS(Transactions!$J$6:$J$505,"Check sale amounts"))&gt;0),"Fix inputs",C23+D23-E23+F23))</x:f>
      </x:c>
      <x:c r="H23" s="27" t="str">
        <x:f>IF(A23="","",Products!F23)</x:f>
      </x:c>
      <x:c r="I23" s="27" t="str">
        <x:f>IF(A23="","",IF(NOT(ISNUMBER(G23)),"Fix inputs",IF(G23&lt;0,"Negative stock",IF(G23&lt;=H23,"Reorder","In stock"))))</x:f>
      </x:c>
      <x:c r="J23" s="28" t="str">
        <x:f>IF(A23="","",IF(ISNUMBER(G23),G23*Products!E23,"Fix inputs"))</x:f>
      </x:c>
    </x:row>
    <x:row r="24" ht="27" customHeight="1">
      <x:c r="A24" s="25" t="str">
        <x:f>IF(Products!A24="","",Products!A24)</x:f>
      </x:c>
      <x:c r="B24" s="25" t="str">
        <x:f>IF(A24="","",Products!B24)</x:f>
      </x:c>
      <x:c r="C24" s="25" t="str">
        <x:f>IF(A24="","",Products!D24)</x:f>
      </x:c>
      <x:c r="D24" s="25" t="str">
        <x:f>IF(A24="","",SUMIFS(Transactions!$E$6:$E$505,Transactions!$D$6:$D$505,A24,Transactions!$C$6:$C$505,"Purchase",Transactions!$J$6:$J$505,"OK"))</x:f>
      </x:c>
      <x:c r="E24" s="25" t="str">
        <x:f>IF(A24="","",SUMIFS(Transactions!$E$6:$E$505,Transactions!$D$6:$D$505,A24,Transactions!$C$6:$C$505,"Sale",Transactions!$J$6:$J$505,"OK"))</x:f>
      </x:c>
      <x:c r="F24" s="25" t="str">
        <x:f>IF(A24="","",SUMIFS(Transactions!$E$6:$E$505,Transactions!$D$6:$D$505,A24,Transactions!$C$6:$C$505,"Adjustment",Transactions!$J$6:$J$505,"OK"))</x:f>
      </x:c>
      <x:c r="G24" s="25" t="str">
        <x:f>IF(A24="","",IF(OR(Products!G24&lt;&gt;"OK",(COUNTIFS(Transactions!$J$6:$J$505,"Check inputs")+COUNTIFS(Transactions!$J$6:$J$505,"Check sale amounts"))&gt;0),"Fix inputs",C24+D24-E24+F24))</x:f>
      </x:c>
      <x:c r="H24" s="25" t="str">
        <x:f>IF(A24="","",Products!F24)</x:f>
      </x:c>
      <x:c r="I24" s="25" t="str">
        <x:f>IF(A24="","",IF(NOT(ISNUMBER(G24)),"Fix inputs",IF(G24&lt;0,"Negative stock",IF(G24&lt;=H24,"Reorder","In stock"))))</x:f>
      </x:c>
      <x:c r="J24" s="26" t="str">
        <x:f>IF(A24="","",IF(ISNUMBER(G24),G24*Products!E24,"Fix inputs"))</x:f>
      </x:c>
    </x:row>
    <x:row r="25" ht="27" customHeight="1">
      <x:c r="A25" s="27" t="str">
        <x:f>IF(Products!A25="","",Products!A25)</x:f>
      </x:c>
      <x:c r="B25" s="27" t="str">
        <x:f>IF(A25="","",Products!B25)</x:f>
      </x:c>
      <x:c r="C25" s="27" t="str">
        <x:f>IF(A25="","",Products!D25)</x:f>
      </x:c>
      <x:c r="D25" s="27" t="str">
        <x:f>IF(A25="","",SUMIFS(Transactions!$E$6:$E$505,Transactions!$D$6:$D$505,A25,Transactions!$C$6:$C$505,"Purchase",Transactions!$J$6:$J$505,"OK"))</x:f>
      </x:c>
      <x:c r="E25" s="27" t="str">
        <x:f>IF(A25="","",SUMIFS(Transactions!$E$6:$E$505,Transactions!$D$6:$D$505,A25,Transactions!$C$6:$C$505,"Sale",Transactions!$J$6:$J$505,"OK"))</x:f>
      </x:c>
      <x:c r="F25" s="27" t="str">
        <x:f>IF(A25="","",SUMIFS(Transactions!$E$6:$E$505,Transactions!$D$6:$D$505,A25,Transactions!$C$6:$C$505,"Adjustment",Transactions!$J$6:$J$505,"OK"))</x:f>
      </x:c>
      <x:c r="G25" s="27" t="str">
        <x:f>IF(A25="","",IF(OR(Products!G25&lt;&gt;"OK",(COUNTIFS(Transactions!$J$6:$J$505,"Check inputs")+COUNTIFS(Transactions!$J$6:$J$505,"Check sale amounts"))&gt;0),"Fix inputs",C25+D25-E25+F25))</x:f>
      </x:c>
      <x:c r="H25" s="27" t="str">
        <x:f>IF(A25="","",Products!F25)</x:f>
      </x:c>
      <x:c r="I25" s="27" t="str">
        <x:f>IF(A25="","",IF(NOT(ISNUMBER(G25)),"Fix inputs",IF(G25&lt;0,"Negative stock",IF(G25&lt;=H25,"Reorder","In stock"))))</x:f>
      </x:c>
      <x:c r="J25" s="28" t="str">
        <x:f>IF(A25="","",IF(ISNUMBER(G25),G25*Products!E25,"Fix inputs"))</x:f>
      </x:c>
    </x:row>
    <x:row r="26" ht="27" customHeight="1">
      <x:c r="A26" s="25" t="str">
        <x:f>IF(Products!A26="","",Products!A26)</x:f>
      </x:c>
      <x:c r="B26" s="25" t="str">
        <x:f>IF(A26="","",Products!B26)</x:f>
      </x:c>
      <x:c r="C26" s="25" t="str">
        <x:f>IF(A26="","",Products!D26)</x:f>
      </x:c>
      <x:c r="D26" s="25" t="str">
        <x:f>IF(A26="","",SUMIFS(Transactions!$E$6:$E$505,Transactions!$D$6:$D$505,A26,Transactions!$C$6:$C$505,"Purchase",Transactions!$J$6:$J$505,"OK"))</x:f>
      </x:c>
      <x:c r="E26" s="25" t="str">
        <x:f>IF(A26="","",SUMIFS(Transactions!$E$6:$E$505,Transactions!$D$6:$D$505,A26,Transactions!$C$6:$C$505,"Sale",Transactions!$J$6:$J$505,"OK"))</x:f>
      </x:c>
      <x:c r="F26" s="25" t="str">
        <x:f>IF(A26="","",SUMIFS(Transactions!$E$6:$E$505,Transactions!$D$6:$D$505,A26,Transactions!$C$6:$C$505,"Adjustment",Transactions!$J$6:$J$505,"OK"))</x:f>
      </x:c>
      <x:c r="G26" s="25" t="str">
        <x:f>IF(A26="","",IF(OR(Products!G26&lt;&gt;"OK",(COUNTIFS(Transactions!$J$6:$J$505,"Check inputs")+COUNTIFS(Transactions!$J$6:$J$505,"Check sale amounts"))&gt;0),"Fix inputs",C26+D26-E26+F26))</x:f>
      </x:c>
      <x:c r="H26" s="25" t="str">
        <x:f>IF(A26="","",Products!F26)</x:f>
      </x:c>
      <x:c r="I26" s="25" t="str">
        <x:f>IF(A26="","",IF(NOT(ISNUMBER(G26)),"Fix inputs",IF(G26&lt;0,"Negative stock",IF(G26&lt;=H26,"Reorder","In stock"))))</x:f>
      </x:c>
      <x:c r="J26" s="26" t="str">
        <x:f>IF(A26="","",IF(ISNUMBER(G26),G26*Products!E26,"Fix inputs"))</x:f>
      </x:c>
    </x:row>
    <x:row r="27" ht="27" customHeight="1">
      <x:c r="A27" s="27" t="str">
        <x:f>IF(Products!A27="","",Products!A27)</x:f>
      </x:c>
      <x:c r="B27" s="27" t="str">
        <x:f>IF(A27="","",Products!B27)</x:f>
      </x:c>
      <x:c r="C27" s="27" t="str">
        <x:f>IF(A27="","",Products!D27)</x:f>
      </x:c>
      <x:c r="D27" s="27" t="str">
        <x:f>IF(A27="","",SUMIFS(Transactions!$E$6:$E$505,Transactions!$D$6:$D$505,A27,Transactions!$C$6:$C$505,"Purchase",Transactions!$J$6:$J$505,"OK"))</x:f>
      </x:c>
      <x:c r="E27" s="27" t="str">
        <x:f>IF(A27="","",SUMIFS(Transactions!$E$6:$E$505,Transactions!$D$6:$D$505,A27,Transactions!$C$6:$C$505,"Sale",Transactions!$J$6:$J$505,"OK"))</x:f>
      </x:c>
      <x:c r="F27" s="27" t="str">
        <x:f>IF(A27="","",SUMIFS(Transactions!$E$6:$E$505,Transactions!$D$6:$D$505,A27,Transactions!$C$6:$C$505,"Adjustment",Transactions!$J$6:$J$505,"OK"))</x:f>
      </x:c>
      <x:c r="G27" s="27" t="str">
        <x:f>IF(A27="","",IF(OR(Products!G27&lt;&gt;"OK",(COUNTIFS(Transactions!$J$6:$J$505,"Check inputs")+COUNTIFS(Transactions!$J$6:$J$505,"Check sale amounts"))&gt;0),"Fix inputs",C27+D27-E27+F27))</x:f>
      </x:c>
      <x:c r="H27" s="27" t="str">
        <x:f>IF(A27="","",Products!F27)</x:f>
      </x:c>
      <x:c r="I27" s="27" t="str">
        <x:f>IF(A27="","",IF(NOT(ISNUMBER(G27)),"Fix inputs",IF(G27&lt;0,"Negative stock",IF(G27&lt;=H27,"Reorder","In stock"))))</x:f>
      </x:c>
      <x:c r="J27" s="28" t="str">
        <x:f>IF(A27="","",IF(ISNUMBER(G27),G27*Products!E27,"Fix inputs"))</x:f>
      </x:c>
    </x:row>
    <x:row r="28" ht="27" customHeight="1">
      <x:c r="A28" s="25" t="str">
        <x:f>IF(Products!A28="","",Products!A28)</x:f>
      </x:c>
      <x:c r="B28" s="25" t="str">
        <x:f>IF(A28="","",Products!B28)</x:f>
      </x:c>
      <x:c r="C28" s="25" t="str">
        <x:f>IF(A28="","",Products!D28)</x:f>
      </x:c>
      <x:c r="D28" s="25" t="str">
        <x:f>IF(A28="","",SUMIFS(Transactions!$E$6:$E$505,Transactions!$D$6:$D$505,A28,Transactions!$C$6:$C$505,"Purchase",Transactions!$J$6:$J$505,"OK"))</x:f>
      </x:c>
      <x:c r="E28" s="25" t="str">
        <x:f>IF(A28="","",SUMIFS(Transactions!$E$6:$E$505,Transactions!$D$6:$D$505,A28,Transactions!$C$6:$C$505,"Sale",Transactions!$J$6:$J$505,"OK"))</x:f>
      </x:c>
      <x:c r="F28" s="25" t="str">
        <x:f>IF(A28="","",SUMIFS(Transactions!$E$6:$E$505,Transactions!$D$6:$D$505,A28,Transactions!$C$6:$C$505,"Adjustment",Transactions!$J$6:$J$505,"OK"))</x:f>
      </x:c>
      <x:c r="G28" s="25" t="str">
        <x:f>IF(A28="","",IF(OR(Products!G28&lt;&gt;"OK",(COUNTIFS(Transactions!$J$6:$J$505,"Check inputs")+COUNTIFS(Transactions!$J$6:$J$505,"Check sale amounts"))&gt;0),"Fix inputs",C28+D28-E28+F28))</x:f>
      </x:c>
      <x:c r="H28" s="25" t="str">
        <x:f>IF(A28="","",Products!F28)</x:f>
      </x:c>
      <x:c r="I28" s="25" t="str">
        <x:f>IF(A28="","",IF(NOT(ISNUMBER(G28)),"Fix inputs",IF(G28&lt;0,"Negative stock",IF(G28&lt;=H28,"Reorder","In stock"))))</x:f>
      </x:c>
      <x:c r="J28" s="26" t="str">
        <x:f>IF(A28="","",IF(ISNUMBER(G28),G28*Products!E28,"Fix inputs"))</x:f>
      </x:c>
    </x:row>
    <x:row r="29" ht="27" customHeight="1">
      <x:c r="A29" s="27" t="str">
        <x:f>IF(Products!A29="","",Products!A29)</x:f>
      </x:c>
      <x:c r="B29" s="27" t="str">
        <x:f>IF(A29="","",Products!B29)</x:f>
      </x:c>
      <x:c r="C29" s="27" t="str">
        <x:f>IF(A29="","",Products!D29)</x:f>
      </x:c>
      <x:c r="D29" s="27" t="str">
        <x:f>IF(A29="","",SUMIFS(Transactions!$E$6:$E$505,Transactions!$D$6:$D$505,A29,Transactions!$C$6:$C$505,"Purchase",Transactions!$J$6:$J$505,"OK"))</x:f>
      </x:c>
      <x:c r="E29" s="27" t="str">
        <x:f>IF(A29="","",SUMIFS(Transactions!$E$6:$E$505,Transactions!$D$6:$D$505,A29,Transactions!$C$6:$C$505,"Sale",Transactions!$J$6:$J$505,"OK"))</x:f>
      </x:c>
      <x:c r="F29" s="27" t="str">
        <x:f>IF(A29="","",SUMIFS(Transactions!$E$6:$E$505,Transactions!$D$6:$D$505,A29,Transactions!$C$6:$C$505,"Adjustment",Transactions!$J$6:$J$505,"OK"))</x:f>
      </x:c>
      <x:c r="G29" s="27" t="str">
        <x:f>IF(A29="","",IF(OR(Products!G29&lt;&gt;"OK",(COUNTIFS(Transactions!$J$6:$J$505,"Check inputs")+COUNTIFS(Transactions!$J$6:$J$505,"Check sale amounts"))&gt;0),"Fix inputs",C29+D29-E29+F29))</x:f>
      </x:c>
      <x:c r="H29" s="27" t="str">
        <x:f>IF(A29="","",Products!F29)</x:f>
      </x:c>
      <x:c r="I29" s="27" t="str">
        <x:f>IF(A29="","",IF(NOT(ISNUMBER(G29)),"Fix inputs",IF(G29&lt;0,"Negative stock",IF(G29&lt;=H29,"Reorder","In stock"))))</x:f>
      </x:c>
      <x:c r="J29" s="28" t="str">
        <x:f>IF(A29="","",IF(ISNUMBER(G29),G29*Products!E29,"Fix inputs"))</x:f>
      </x:c>
    </x:row>
    <x:row r="30" ht="27" customHeight="1">
      <x:c r="A30" s="25" t="str">
        <x:f>IF(Products!A30="","",Products!A30)</x:f>
      </x:c>
      <x:c r="B30" s="25" t="str">
        <x:f>IF(A30="","",Products!B30)</x:f>
      </x:c>
      <x:c r="C30" s="25" t="str">
        <x:f>IF(A30="","",Products!D30)</x:f>
      </x:c>
      <x:c r="D30" s="25" t="str">
        <x:f>IF(A30="","",SUMIFS(Transactions!$E$6:$E$505,Transactions!$D$6:$D$505,A30,Transactions!$C$6:$C$505,"Purchase",Transactions!$J$6:$J$505,"OK"))</x:f>
      </x:c>
      <x:c r="E30" s="25" t="str">
        <x:f>IF(A30="","",SUMIFS(Transactions!$E$6:$E$505,Transactions!$D$6:$D$505,A30,Transactions!$C$6:$C$505,"Sale",Transactions!$J$6:$J$505,"OK"))</x:f>
      </x:c>
      <x:c r="F30" s="25" t="str">
        <x:f>IF(A30="","",SUMIFS(Transactions!$E$6:$E$505,Transactions!$D$6:$D$505,A30,Transactions!$C$6:$C$505,"Adjustment",Transactions!$J$6:$J$505,"OK"))</x:f>
      </x:c>
      <x:c r="G30" s="25" t="str">
        <x:f>IF(A30="","",IF(OR(Products!G30&lt;&gt;"OK",(COUNTIFS(Transactions!$J$6:$J$505,"Check inputs")+COUNTIFS(Transactions!$J$6:$J$505,"Check sale amounts"))&gt;0),"Fix inputs",C30+D30-E30+F30))</x:f>
      </x:c>
      <x:c r="H30" s="25" t="str">
        <x:f>IF(A30="","",Products!F30)</x:f>
      </x:c>
      <x:c r="I30" s="25" t="str">
        <x:f>IF(A30="","",IF(NOT(ISNUMBER(G30)),"Fix inputs",IF(G30&lt;0,"Negative stock",IF(G30&lt;=H30,"Reorder","In stock"))))</x:f>
      </x:c>
      <x:c r="J30" s="26" t="str">
        <x:f>IF(A30="","",IF(ISNUMBER(G30),G30*Products!E30,"Fix inputs"))</x:f>
      </x:c>
    </x:row>
    <x:row r="31" ht="27" customHeight="1">
      <x:c r="A31" s="27" t="str">
        <x:f>IF(Products!A31="","",Products!A31)</x:f>
      </x:c>
      <x:c r="B31" s="27" t="str">
        <x:f>IF(A31="","",Products!B31)</x:f>
      </x:c>
      <x:c r="C31" s="27" t="str">
        <x:f>IF(A31="","",Products!D31)</x:f>
      </x:c>
      <x:c r="D31" s="27" t="str">
        <x:f>IF(A31="","",SUMIFS(Transactions!$E$6:$E$505,Transactions!$D$6:$D$505,A31,Transactions!$C$6:$C$505,"Purchase",Transactions!$J$6:$J$505,"OK"))</x:f>
      </x:c>
      <x:c r="E31" s="27" t="str">
        <x:f>IF(A31="","",SUMIFS(Transactions!$E$6:$E$505,Transactions!$D$6:$D$505,A31,Transactions!$C$6:$C$505,"Sale",Transactions!$J$6:$J$505,"OK"))</x:f>
      </x:c>
      <x:c r="F31" s="27" t="str">
        <x:f>IF(A31="","",SUMIFS(Transactions!$E$6:$E$505,Transactions!$D$6:$D$505,A31,Transactions!$C$6:$C$505,"Adjustment",Transactions!$J$6:$J$505,"OK"))</x:f>
      </x:c>
      <x:c r="G31" s="27" t="str">
        <x:f>IF(A31="","",IF(OR(Products!G31&lt;&gt;"OK",(COUNTIFS(Transactions!$J$6:$J$505,"Check inputs")+COUNTIFS(Transactions!$J$6:$J$505,"Check sale amounts"))&gt;0),"Fix inputs",C31+D31-E31+F31))</x:f>
      </x:c>
      <x:c r="H31" s="27" t="str">
        <x:f>IF(A31="","",Products!F31)</x:f>
      </x:c>
      <x:c r="I31" s="27" t="str">
        <x:f>IF(A31="","",IF(NOT(ISNUMBER(G31)),"Fix inputs",IF(G31&lt;0,"Negative stock",IF(G31&lt;=H31,"Reorder","In stock"))))</x:f>
      </x:c>
      <x:c r="J31" s="28" t="str">
        <x:f>IF(A31="","",IF(ISNUMBER(G31),G31*Products!E31,"Fix inputs"))</x:f>
      </x:c>
    </x:row>
    <x:row r="32" ht="27" customHeight="1">
      <x:c r="A32" s="25" t="str">
        <x:f>IF(Products!A32="","",Products!A32)</x:f>
      </x:c>
      <x:c r="B32" s="25" t="str">
        <x:f>IF(A32="","",Products!B32)</x:f>
      </x:c>
      <x:c r="C32" s="25" t="str">
        <x:f>IF(A32="","",Products!D32)</x:f>
      </x:c>
      <x:c r="D32" s="25" t="str">
        <x:f>IF(A32="","",SUMIFS(Transactions!$E$6:$E$505,Transactions!$D$6:$D$505,A32,Transactions!$C$6:$C$505,"Purchase",Transactions!$J$6:$J$505,"OK"))</x:f>
      </x:c>
      <x:c r="E32" s="25" t="str">
        <x:f>IF(A32="","",SUMIFS(Transactions!$E$6:$E$505,Transactions!$D$6:$D$505,A32,Transactions!$C$6:$C$505,"Sale",Transactions!$J$6:$J$505,"OK"))</x:f>
      </x:c>
      <x:c r="F32" s="25" t="str">
        <x:f>IF(A32="","",SUMIFS(Transactions!$E$6:$E$505,Transactions!$D$6:$D$505,A32,Transactions!$C$6:$C$505,"Adjustment",Transactions!$J$6:$J$505,"OK"))</x:f>
      </x:c>
      <x:c r="G32" s="25" t="str">
        <x:f>IF(A32="","",IF(OR(Products!G32&lt;&gt;"OK",(COUNTIFS(Transactions!$J$6:$J$505,"Check inputs")+COUNTIFS(Transactions!$J$6:$J$505,"Check sale amounts"))&gt;0),"Fix inputs",C32+D32-E32+F32))</x:f>
      </x:c>
      <x:c r="H32" s="25" t="str">
        <x:f>IF(A32="","",Products!F32)</x:f>
      </x:c>
      <x:c r="I32" s="25" t="str">
        <x:f>IF(A32="","",IF(NOT(ISNUMBER(G32)),"Fix inputs",IF(G32&lt;0,"Negative stock",IF(G32&lt;=H32,"Reorder","In stock"))))</x:f>
      </x:c>
      <x:c r="J32" s="26" t="str">
        <x:f>IF(A32="","",IF(ISNUMBER(G32),G32*Products!E32,"Fix inputs"))</x:f>
      </x:c>
    </x:row>
    <x:row r="33" ht="27" customHeight="1">
      <x:c r="A33" s="27" t="str">
        <x:f>IF(Products!A33="","",Products!A33)</x:f>
      </x:c>
      <x:c r="B33" s="27" t="str">
        <x:f>IF(A33="","",Products!B33)</x:f>
      </x:c>
      <x:c r="C33" s="27" t="str">
        <x:f>IF(A33="","",Products!D33)</x:f>
      </x:c>
      <x:c r="D33" s="27" t="str">
        <x:f>IF(A33="","",SUMIFS(Transactions!$E$6:$E$505,Transactions!$D$6:$D$505,A33,Transactions!$C$6:$C$505,"Purchase",Transactions!$J$6:$J$505,"OK"))</x:f>
      </x:c>
      <x:c r="E33" s="27" t="str">
        <x:f>IF(A33="","",SUMIFS(Transactions!$E$6:$E$505,Transactions!$D$6:$D$505,A33,Transactions!$C$6:$C$505,"Sale",Transactions!$J$6:$J$505,"OK"))</x:f>
      </x:c>
      <x:c r="F33" s="27" t="str">
        <x:f>IF(A33="","",SUMIFS(Transactions!$E$6:$E$505,Transactions!$D$6:$D$505,A33,Transactions!$C$6:$C$505,"Adjustment",Transactions!$J$6:$J$505,"OK"))</x:f>
      </x:c>
      <x:c r="G33" s="27" t="str">
        <x:f>IF(A33="","",IF(OR(Products!G33&lt;&gt;"OK",(COUNTIFS(Transactions!$J$6:$J$505,"Check inputs")+COUNTIFS(Transactions!$J$6:$J$505,"Check sale amounts"))&gt;0),"Fix inputs",C33+D33-E33+F33))</x:f>
      </x:c>
      <x:c r="H33" s="27" t="str">
        <x:f>IF(A33="","",Products!F33)</x:f>
      </x:c>
      <x:c r="I33" s="27" t="str">
        <x:f>IF(A33="","",IF(NOT(ISNUMBER(G33)),"Fix inputs",IF(G33&lt;0,"Negative stock",IF(G33&lt;=H33,"Reorder","In stock"))))</x:f>
      </x:c>
      <x:c r="J33" s="28" t="str">
        <x:f>IF(A33="","",IF(ISNUMBER(G33),G33*Products!E33,"Fix inputs"))</x:f>
      </x:c>
    </x:row>
    <x:row r="34" ht="27" customHeight="1">
      <x:c r="A34" s="25" t="str">
        <x:f>IF(Products!A34="","",Products!A34)</x:f>
      </x:c>
      <x:c r="B34" s="25" t="str">
        <x:f>IF(A34="","",Products!B34)</x:f>
      </x:c>
      <x:c r="C34" s="25" t="str">
        <x:f>IF(A34="","",Products!D34)</x:f>
      </x:c>
      <x:c r="D34" s="25" t="str">
        <x:f>IF(A34="","",SUMIFS(Transactions!$E$6:$E$505,Transactions!$D$6:$D$505,A34,Transactions!$C$6:$C$505,"Purchase",Transactions!$J$6:$J$505,"OK"))</x:f>
      </x:c>
      <x:c r="E34" s="25" t="str">
        <x:f>IF(A34="","",SUMIFS(Transactions!$E$6:$E$505,Transactions!$D$6:$D$505,A34,Transactions!$C$6:$C$505,"Sale",Transactions!$J$6:$J$505,"OK"))</x:f>
      </x:c>
      <x:c r="F34" s="25" t="str">
        <x:f>IF(A34="","",SUMIFS(Transactions!$E$6:$E$505,Transactions!$D$6:$D$505,A34,Transactions!$C$6:$C$505,"Adjustment",Transactions!$J$6:$J$505,"OK"))</x:f>
      </x:c>
      <x:c r="G34" s="25" t="str">
        <x:f>IF(A34="","",IF(OR(Products!G34&lt;&gt;"OK",(COUNTIFS(Transactions!$J$6:$J$505,"Check inputs")+COUNTIFS(Transactions!$J$6:$J$505,"Check sale amounts"))&gt;0),"Fix inputs",C34+D34-E34+F34))</x:f>
      </x:c>
      <x:c r="H34" s="25" t="str">
        <x:f>IF(A34="","",Products!F34)</x:f>
      </x:c>
      <x:c r="I34" s="25" t="str">
        <x:f>IF(A34="","",IF(NOT(ISNUMBER(G34)),"Fix inputs",IF(G34&lt;0,"Negative stock",IF(G34&lt;=H34,"Reorder","In stock"))))</x:f>
      </x:c>
      <x:c r="J34" s="26" t="str">
        <x:f>IF(A34="","",IF(ISNUMBER(G34),G34*Products!E34,"Fix inputs"))</x:f>
      </x:c>
    </x:row>
    <x:row r="35" ht="27" customHeight="1">
      <x:c r="A35" s="27" t="str">
        <x:f>IF(Products!A35="","",Products!A35)</x:f>
      </x:c>
      <x:c r="B35" s="27" t="str">
        <x:f>IF(A35="","",Products!B35)</x:f>
      </x:c>
      <x:c r="C35" s="27" t="str">
        <x:f>IF(A35="","",Products!D35)</x:f>
      </x:c>
      <x:c r="D35" s="27" t="str">
        <x:f>IF(A35="","",SUMIFS(Transactions!$E$6:$E$505,Transactions!$D$6:$D$505,A35,Transactions!$C$6:$C$505,"Purchase",Transactions!$J$6:$J$505,"OK"))</x:f>
      </x:c>
      <x:c r="E35" s="27" t="str">
        <x:f>IF(A35="","",SUMIFS(Transactions!$E$6:$E$505,Transactions!$D$6:$D$505,A35,Transactions!$C$6:$C$505,"Sale",Transactions!$J$6:$J$505,"OK"))</x:f>
      </x:c>
      <x:c r="F35" s="27" t="str">
        <x:f>IF(A35="","",SUMIFS(Transactions!$E$6:$E$505,Transactions!$D$6:$D$505,A35,Transactions!$C$6:$C$505,"Adjustment",Transactions!$J$6:$J$505,"OK"))</x:f>
      </x:c>
      <x:c r="G35" s="27" t="str">
        <x:f>IF(A35="","",IF(OR(Products!G35&lt;&gt;"OK",(COUNTIFS(Transactions!$J$6:$J$505,"Check inputs")+COUNTIFS(Transactions!$J$6:$J$505,"Check sale amounts"))&gt;0),"Fix inputs",C35+D35-E35+F35))</x:f>
      </x:c>
      <x:c r="H35" s="27" t="str">
        <x:f>IF(A35="","",Products!F35)</x:f>
      </x:c>
      <x:c r="I35" s="27" t="str">
        <x:f>IF(A35="","",IF(NOT(ISNUMBER(G35)),"Fix inputs",IF(G35&lt;0,"Negative stock",IF(G35&lt;=H35,"Reorder","In stock"))))</x:f>
      </x:c>
      <x:c r="J35" s="28" t="str">
        <x:f>IF(A35="","",IF(ISNUMBER(G35),G35*Products!E35,"Fix inputs"))</x:f>
      </x:c>
    </x:row>
    <x:row r="36" ht="27" customHeight="1">
      <x:c r="A36" s="25" t="str">
        <x:f>IF(Products!A36="","",Products!A36)</x:f>
      </x:c>
      <x:c r="B36" s="25" t="str">
        <x:f>IF(A36="","",Products!B36)</x:f>
      </x:c>
      <x:c r="C36" s="25" t="str">
        <x:f>IF(A36="","",Products!D36)</x:f>
      </x:c>
      <x:c r="D36" s="25" t="str">
        <x:f>IF(A36="","",SUMIFS(Transactions!$E$6:$E$505,Transactions!$D$6:$D$505,A36,Transactions!$C$6:$C$505,"Purchase",Transactions!$J$6:$J$505,"OK"))</x:f>
      </x:c>
      <x:c r="E36" s="25" t="str">
        <x:f>IF(A36="","",SUMIFS(Transactions!$E$6:$E$505,Transactions!$D$6:$D$505,A36,Transactions!$C$6:$C$505,"Sale",Transactions!$J$6:$J$505,"OK"))</x:f>
      </x:c>
      <x:c r="F36" s="25" t="str">
        <x:f>IF(A36="","",SUMIFS(Transactions!$E$6:$E$505,Transactions!$D$6:$D$505,A36,Transactions!$C$6:$C$505,"Adjustment",Transactions!$J$6:$J$505,"OK"))</x:f>
      </x:c>
      <x:c r="G36" s="25" t="str">
        <x:f>IF(A36="","",IF(OR(Products!G36&lt;&gt;"OK",(COUNTIFS(Transactions!$J$6:$J$505,"Check inputs")+COUNTIFS(Transactions!$J$6:$J$505,"Check sale amounts"))&gt;0),"Fix inputs",C36+D36-E36+F36))</x:f>
      </x:c>
      <x:c r="H36" s="25" t="str">
        <x:f>IF(A36="","",Products!F36)</x:f>
      </x:c>
      <x:c r="I36" s="25" t="str">
        <x:f>IF(A36="","",IF(NOT(ISNUMBER(G36)),"Fix inputs",IF(G36&lt;0,"Negative stock",IF(G36&lt;=H36,"Reorder","In stock"))))</x:f>
      </x:c>
      <x:c r="J36" s="26" t="str">
        <x:f>IF(A36="","",IF(ISNUMBER(G36),G36*Products!E36,"Fix inputs"))</x:f>
      </x:c>
    </x:row>
    <x:row r="37" ht="27" customHeight="1">
      <x:c r="A37" s="27" t="str">
        <x:f>IF(Products!A37="","",Products!A37)</x:f>
      </x:c>
      <x:c r="B37" s="27" t="str">
        <x:f>IF(A37="","",Products!B37)</x:f>
      </x:c>
      <x:c r="C37" s="27" t="str">
        <x:f>IF(A37="","",Products!D37)</x:f>
      </x:c>
      <x:c r="D37" s="27" t="str">
        <x:f>IF(A37="","",SUMIFS(Transactions!$E$6:$E$505,Transactions!$D$6:$D$505,A37,Transactions!$C$6:$C$505,"Purchase",Transactions!$J$6:$J$505,"OK"))</x:f>
      </x:c>
      <x:c r="E37" s="27" t="str">
        <x:f>IF(A37="","",SUMIFS(Transactions!$E$6:$E$505,Transactions!$D$6:$D$505,A37,Transactions!$C$6:$C$505,"Sale",Transactions!$J$6:$J$505,"OK"))</x:f>
      </x:c>
      <x:c r="F37" s="27" t="str">
        <x:f>IF(A37="","",SUMIFS(Transactions!$E$6:$E$505,Transactions!$D$6:$D$505,A37,Transactions!$C$6:$C$505,"Adjustment",Transactions!$J$6:$J$505,"OK"))</x:f>
      </x:c>
      <x:c r="G37" s="27" t="str">
        <x:f>IF(A37="","",IF(OR(Products!G37&lt;&gt;"OK",(COUNTIFS(Transactions!$J$6:$J$505,"Check inputs")+COUNTIFS(Transactions!$J$6:$J$505,"Check sale amounts"))&gt;0),"Fix inputs",C37+D37-E37+F37))</x:f>
      </x:c>
      <x:c r="H37" s="27" t="str">
        <x:f>IF(A37="","",Products!F37)</x:f>
      </x:c>
      <x:c r="I37" s="27" t="str">
        <x:f>IF(A37="","",IF(NOT(ISNUMBER(G37)),"Fix inputs",IF(G37&lt;0,"Negative stock",IF(G37&lt;=H37,"Reorder","In stock"))))</x:f>
      </x:c>
      <x:c r="J37" s="28" t="str">
        <x:f>IF(A37="","",IF(ISNUMBER(G37),G37*Products!E37,"Fix inputs"))</x:f>
      </x:c>
    </x:row>
    <x:row r="38" ht="27" customHeight="1">
      <x:c r="A38" s="25" t="str">
        <x:f>IF(Products!A38="","",Products!A38)</x:f>
      </x:c>
      <x:c r="B38" s="25" t="str">
        <x:f>IF(A38="","",Products!B38)</x:f>
      </x:c>
      <x:c r="C38" s="25" t="str">
        <x:f>IF(A38="","",Products!D38)</x:f>
      </x:c>
      <x:c r="D38" s="25" t="str">
        <x:f>IF(A38="","",SUMIFS(Transactions!$E$6:$E$505,Transactions!$D$6:$D$505,A38,Transactions!$C$6:$C$505,"Purchase",Transactions!$J$6:$J$505,"OK"))</x:f>
      </x:c>
      <x:c r="E38" s="25" t="str">
        <x:f>IF(A38="","",SUMIFS(Transactions!$E$6:$E$505,Transactions!$D$6:$D$505,A38,Transactions!$C$6:$C$505,"Sale",Transactions!$J$6:$J$505,"OK"))</x:f>
      </x:c>
      <x:c r="F38" s="25" t="str">
        <x:f>IF(A38="","",SUMIFS(Transactions!$E$6:$E$505,Transactions!$D$6:$D$505,A38,Transactions!$C$6:$C$505,"Adjustment",Transactions!$J$6:$J$505,"OK"))</x:f>
      </x:c>
      <x:c r="G38" s="25" t="str">
        <x:f>IF(A38="","",IF(OR(Products!G38&lt;&gt;"OK",(COUNTIFS(Transactions!$J$6:$J$505,"Check inputs")+COUNTIFS(Transactions!$J$6:$J$505,"Check sale amounts"))&gt;0),"Fix inputs",C38+D38-E38+F38))</x:f>
      </x:c>
      <x:c r="H38" s="25" t="str">
        <x:f>IF(A38="","",Products!F38)</x:f>
      </x:c>
      <x:c r="I38" s="25" t="str">
        <x:f>IF(A38="","",IF(NOT(ISNUMBER(G38)),"Fix inputs",IF(G38&lt;0,"Negative stock",IF(G38&lt;=H38,"Reorder","In stock"))))</x:f>
      </x:c>
      <x:c r="J38" s="26" t="str">
        <x:f>IF(A38="","",IF(ISNUMBER(G38),G38*Products!E38,"Fix inputs"))</x:f>
      </x:c>
    </x:row>
    <x:row r="39" ht="27" customHeight="1">
      <x:c r="A39" s="27" t="str">
        <x:f>IF(Products!A39="","",Products!A39)</x:f>
      </x:c>
      <x:c r="B39" s="27" t="str">
        <x:f>IF(A39="","",Products!B39)</x:f>
      </x:c>
      <x:c r="C39" s="27" t="str">
        <x:f>IF(A39="","",Products!D39)</x:f>
      </x:c>
      <x:c r="D39" s="27" t="str">
        <x:f>IF(A39="","",SUMIFS(Transactions!$E$6:$E$505,Transactions!$D$6:$D$505,A39,Transactions!$C$6:$C$505,"Purchase",Transactions!$J$6:$J$505,"OK"))</x:f>
      </x:c>
      <x:c r="E39" s="27" t="str">
        <x:f>IF(A39="","",SUMIFS(Transactions!$E$6:$E$505,Transactions!$D$6:$D$505,A39,Transactions!$C$6:$C$505,"Sale",Transactions!$J$6:$J$505,"OK"))</x:f>
      </x:c>
      <x:c r="F39" s="27" t="str">
        <x:f>IF(A39="","",SUMIFS(Transactions!$E$6:$E$505,Transactions!$D$6:$D$505,A39,Transactions!$C$6:$C$505,"Adjustment",Transactions!$J$6:$J$505,"OK"))</x:f>
      </x:c>
      <x:c r="G39" s="27" t="str">
        <x:f>IF(A39="","",IF(OR(Products!G39&lt;&gt;"OK",(COUNTIFS(Transactions!$J$6:$J$505,"Check inputs")+COUNTIFS(Transactions!$J$6:$J$505,"Check sale amounts"))&gt;0),"Fix inputs",C39+D39-E39+F39))</x:f>
      </x:c>
      <x:c r="H39" s="27" t="str">
        <x:f>IF(A39="","",Products!F39)</x:f>
      </x:c>
      <x:c r="I39" s="27" t="str">
        <x:f>IF(A39="","",IF(NOT(ISNUMBER(G39)),"Fix inputs",IF(G39&lt;0,"Negative stock",IF(G39&lt;=H39,"Reorder","In stock"))))</x:f>
      </x:c>
      <x:c r="J39" s="28" t="str">
        <x:f>IF(A39="","",IF(ISNUMBER(G39),G39*Products!E39,"Fix inputs"))</x:f>
      </x:c>
    </x:row>
    <x:row r="40" ht="27" customHeight="1">
      <x:c r="A40" s="25" t="str">
        <x:f>IF(Products!A40="","",Products!A40)</x:f>
      </x:c>
      <x:c r="B40" s="25" t="str">
        <x:f>IF(A40="","",Products!B40)</x:f>
      </x:c>
      <x:c r="C40" s="25" t="str">
        <x:f>IF(A40="","",Products!D40)</x:f>
      </x:c>
      <x:c r="D40" s="25" t="str">
        <x:f>IF(A40="","",SUMIFS(Transactions!$E$6:$E$505,Transactions!$D$6:$D$505,A40,Transactions!$C$6:$C$505,"Purchase",Transactions!$J$6:$J$505,"OK"))</x:f>
      </x:c>
      <x:c r="E40" s="25" t="str">
        <x:f>IF(A40="","",SUMIFS(Transactions!$E$6:$E$505,Transactions!$D$6:$D$505,A40,Transactions!$C$6:$C$505,"Sale",Transactions!$J$6:$J$505,"OK"))</x:f>
      </x:c>
      <x:c r="F40" s="25" t="str">
        <x:f>IF(A40="","",SUMIFS(Transactions!$E$6:$E$505,Transactions!$D$6:$D$505,A40,Transactions!$C$6:$C$505,"Adjustment",Transactions!$J$6:$J$505,"OK"))</x:f>
      </x:c>
      <x:c r="G40" s="25" t="str">
        <x:f>IF(A40="","",IF(OR(Products!G40&lt;&gt;"OK",(COUNTIFS(Transactions!$J$6:$J$505,"Check inputs")+COUNTIFS(Transactions!$J$6:$J$505,"Check sale amounts"))&gt;0),"Fix inputs",C40+D40-E40+F40))</x:f>
      </x:c>
      <x:c r="H40" s="25" t="str">
        <x:f>IF(A40="","",Products!F40)</x:f>
      </x:c>
      <x:c r="I40" s="25" t="str">
        <x:f>IF(A40="","",IF(NOT(ISNUMBER(G40)),"Fix inputs",IF(G40&lt;0,"Negative stock",IF(G40&lt;=H40,"Reorder","In stock"))))</x:f>
      </x:c>
      <x:c r="J40" s="26" t="str">
        <x:f>IF(A40="","",IF(ISNUMBER(G40),G40*Products!E40,"Fix inputs"))</x:f>
      </x:c>
    </x:row>
    <x:row r="41" ht="27" customHeight="1">
      <x:c r="A41" s="27" t="str">
        <x:f>IF(Products!A41="","",Products!A41)</x:f>
      </x:c>
      <x:c r="B41" s="27" t="str">
        <x:f>IF(A41="","",Products!B41)</x:f>
      </x:c>
      <x:c r="C41" s="27" t="str">
        <x:f>IF(A41="","",Products!D41)</x:f>
      </x:c>
      <x:c r="D41" s="27" t="str">
        <x:f>IF(A41="","",SUMIFS(Transactions!$E$6:$E$505,Transactions!$D$6:$D$505,A41,Transactions!$C$6:$C$505,"Purchase",Transactions!$J$6:$J$505,"OK"))</x:f>
      </x:c>
      <x:c r="E41" s="27" t="str">
        <x:f>IF(A41="","",SUMIFS(Transactions!$E$6:$E$505,Transactions!$D$6:$D$505,A41,Transactions!$C$6:$C$505,"Sale",Transactions!$J$6:$J$505,"OK"))</x:f>
      </x:c>
      <x:c r="F41" s="27" t="str">
        <x:f>IF(A41="","",SUMIFS(Transactions!$E$6:$E$505,Transactions!$D$6:$D$505,A41,Transactions!$C$6:$C$505,"Adjustment",Transactions!$J$6:$J$505,"OK"))</x:f>
      </x:c>
      <x:c r="G41" s="27" t="str">
        <x:f>IF(A41="","",IF(OR(Products!G41&lt;&gt;"OK",(COUNTIFS(Transactions!$J$6:$J$505,"Check inputs")+COUNTIFS(Transactions!$J$6:$J$505,"Check sale amounts"))&gt;0),"Fix inputs",C41+D41-E41+F41))</x:f>
      </x:c>
      <x:c r="H41" s="27" t="str">
        <x:f>IF(A41="","",Products!F41)</x:f>
      </x:c>
      <x:c r="I41" s="27" t="str">
        <x:f>IF(A41="","",IF(NOT(ISNUMBER(G41)),"Fix inputs",IF(G41&lt;0,"Negative stock",IF(G41&lt;=H41,"Reorder","In stock"))))</x:f>
      </x:c>
      <x:c r="J41" s="28" t="str">
        <x:f>IF(A41="","",IF(ISNUMBER(G41),G41*Products!E41,"Fix inputs"))</x:f>
      </x:c>
    </x:row>
    <x:row r="42" ht="27" customHeight="1">
      <x:c r="A42" s="25" t="str">
        <x:f>IF(Products!A42="","",Products!A42)</x:f>
      </x:c>
      <x:c r="B42" s="25" t="str">
        <x:f>IF(A42="","",Products!B42)</x:f>
      </x:c>
      <x:c r="C42" s="25" t="str">
        <x:f>IF(A42="","",Products!D42)</x:f>
      </x:c>
      <x:c r="D42" s="25" t="str">
        <x:f>IF(A42="","",SUMIFS(Transactions!$E$6:$E$505,Transactions!$D$6:$D$505,A42,Transactions!$C$6:$C$505,"Purchase",Transactions!$J$6:$J$505,"OK"))</x:f>
      </x:c>
      <x:c r="E42" s="25" t="str">
        <x:f>IF(A42="","",SUMIFS(Transactions!$E$6:$E$505,Transactions!$D$6:$D$505,A42,Transactions!$C$6:$C$505,"Sale",Transactions!$J$6:$J$505,"OK"))</x:f>
      </x:c>
      <x:c r="F42" s="25" t="str">
        <x:f>IF(A42="","",SUMIFS(Transactions!$E$6:$E$505,Transactions!$D$6:$D$505,A42,Transactions!$C$6:$C$505,"Adjustment",Transactions!$J$6:$J$505,"OK"))</x:f>
      </x:c>
      <x:c r="G42" s="25" t="str">
        <x:f>IF(A42="","",IF(OR(Products!G42&lt;&gt;"OK",(COUNTIFS(Transactions!$J$6:$J$505,"Check inputs")+COUNTIFS(Transactions!$J$6:$J$505,"Check sale amounts"))&gt;0),"Fix inputs",C42+D42-E42+F42))</x:f>
      </x:c>
      <x:c r="H42" s="25" t="str">
        <x:f>IF(A42="","",Products!F42)</x:f>
      </x:c>
      <x:c r="I42" s="25" t="str">
        <x:f>IF(A42="","",IF(NOT(ISNUMBER(G42)),"Fix inputs",IF(G42&lt;0,"Negative stock",IF(G42&lt;=H42,"Reorder","In stock"))))</x:f>
      </x:c>
      <x:c r="J42" s="26" t="str">
        <x:f>IF(A42="","",IF(ISNUMBER(G42),G42*Products!E42,"Fix inputs"))</x:f>
      </x:c>
    </x:row>
    <x:row r="43" ht="27" customHeight="1">
      <x:c r="A43" s="27" t="str">
        <x:f>IF(Products!A43="","",Products!A43)</x:f>
      </x:c>
      <x:c r="B43" s="27" t="str">
        <x:f>IF(A43="","",Products!B43)</x:f>
      </x:c>
      <x:c r="C43" s="27" t="str">
        <x:f>IF(A43="","",Products!D43)</x:f>
      </x:c>
      <x:c r="D43" s="27" t="str">
        <x:f>IF(A43="","",SUMIFS(Transactions!$E$6:$E$505,Transactions!$D$6:$D$505,A43,Transactions!$C$6:$C$505,"Purchase",Transactions!$J$6:$J$505,"OK"))</x:f>
      </x:c>
      <x:c r="E43" s="27" t="str">
        <x:f>IF(A43="","",SUMIFS(Transactions!$E$6:$E$505,Transactions!$D$6:$D$505,A43,Transactions!$C$6:$C$505,"Sale",Transactions!$J$6:$J$505,"OK"))</x:f>
      </x:c>
      <x:c r="F43" s="27" t="str">
        <x:f>IF(A43="","",SUMIFS(Transactions!$E$6:$E$505,Transactions!$D$6:$D$505,A43,Transactions!$C$6:$C$505,"Adjustment",Transactions!$J$6:$J$505,"OK"))</x:f>
      </x:c>
      <x:c r="G43" s="27" t="str">
        <x:f>IF(A43="","",IF(OR(Products!G43&lt;&gt;"OK",(COUNTIFS(Transactions!$J$6:$J$505,"Check inputs")+COUNTIFS(Transactions!$J$6:$J$505,"Check sale amounts"))&gt;0),"Fix inputs",C43+D43-E43+F43))</x:f>
      </x:c>
      <x:c r="H43" s="27" t="str">
        <x:f>IF(A43="","",Products!F43)</x:f>
      </x:c>
      <x:c r="I43" s="27" t="str">
        <x:f>IF(A43="","",IF(NOT(ISNUMBER(G43)),"Fix inputs",IF(G43&lt;0,"Negative stock",IF(G43&lt;=H43,"Reorder","In stock"))))</x:f>
      </x:c>
      <x:c r="J43" s="28" t="str">
        <x:f>IF(A43="","",IF(ISNUMBER(G43),G43*Products!E43,"Fix inputs"))</x:f>
      </x:c>
    </x:row>
    <x:row r="44" ht="27" customHeight="1">
      <x:c r="A44" s="25" t="str">
        <x:f>IF(Products!A44="","",Products!A44)</x:f>
      </x:c>
      <x:c r="B44" s="25" t="str">
        <x:f>IF(A44="","",Products!B44)</x:f>
      </x:c>
      <x:c r="C44" s="25" t="str">
        <x:f>IF(A44="","",Products!D44)</x:f>
      </x:c>
      <x:c r="D44" s="25" t="str">
        <x:f>IF(A44="","",SUMIFS(Transactions!$E$6:$E$505,Transactions!$D$6:$D$505,A44,Transactions!$C$6:$C$505,"Purchase",Transactions!$J$6:$J$505,"OK"))</x:f>
      </x:c>
      <x:c r="E44" s="25" t="str">
        <x:f>IF(A44="","",SUMIFS(Transactions!$E$6:$E$505,Transactions!$D$6:$D$505,A44,Transactions!$C$6:$C$505,"Sale",Transactions!$J$6:$J$505,"OK"))</x:f>
      </x:c>
      <x:c r="F44" s="25" t="str">
        <x:f>IF(A44="","",SUMIFS(Transactions!$E$6:$E$505,Transactions!$D$6:$D$505,A44,Transactions!$C$6:$C$505,"Adjustment",Transactions!$J$6:$J$505,"OK"))</x:f>
      </x:c>
      <x:c r="G44" s="25" t="str">
        <x:f>IF(A44="","",IF(OR(Products!G44&lt;&gt;"OK",(COUNTIFS(Transactions!$J$6:$J$505,"Check inputs")+COUNTIFS(Transactions!$J$6:$J$505,"Check sale amounts"))&gt;0),"Fix inputs",C44+D44-E44+F44))</x:f>
      </x:c>
      <x:c r="H44" s="25" t="str">
        <x:f>IF(A44="","",Products!F44)</x:f>
      </x:c>
      <x:c r="I44" s="25" t="str">
        <x:f>IF(A44="","",IF(NOT(ISNUMBER(G44)),"Fix inputs",IF(G44&lt;0,"Negative stock",IF(G44&lt;=H44,"Reorder","In stock"))))</x:f>
      </x:c>
      <x:c r="J44" s="26" t="str">
        <x:f>IF(A44="","",IF(ISNUMBER(G44),G44*Products!E44,"Fix inputs"))</x:f>
      </x:c>
    </x:row>
    <x:row r="45" ht="27" customHeight="1">
      <x:c r="A45" s="27" t="str">
        <x:f>IF(Products!A45="","",Products!A45)</x:f>
      </x:c>
      <x:c r="B45" s="27" t="str">
        <x:f>IF(A45="","",Products!B45)</x:f>
      </x:c>
      <x:c r="C45" s="27" t="str">
        <x:f>IF(A45="","",Products!D45)</x:f>
      </x:c>
      <x:c r="D45" s="27" t="str">
        <x:f>IF(A45="","",SUMIFS(Transactions!$E$6:$E$505,Transactions!$D$6:$D$505,A45,Transactions!$C$6:$C$505,"Purchase",Transactions!$J$6:$J$505,"OK"))</x:f>
      </x:c>
      <x:c r="E45" s="27" t="str">
        <x:f>IF(A45="","",SUMIFS(Transactions!$E$6:$E$505,Transactions!$D$6:$D$505,A45,Transactions!$C$6:$C$505,"Sale",Transactions!$J$6:$J$505,"OK"))</x:f>
      </x:c>
      <x:c r="F45" s="27" t="str">
        <x:f>IF(A45="","",SUMIFS(Transactions!$E$6:$E$505,Transactions!$D$6:$D$505,A45,Transactions!$C$6:$C$505,"Adjustment",Transactions!$J$6:$J$505,"OK"))</x:f>
      </x:c>
      <x:c r="G45" s="27" t="str">
        <x:f>IF(A45="","",IF(OR(Products!G45&lt;&gt;"OK",(COUNTIFS(Transactions!$J$6:$J$505,"Check inputs")+COUNTIFS(Transactions!$J$6:$J$505,"Check sale amounts"))&gt;0),"Fix inputs",C45+D45-E45+F45))</x:f>
      </x:c>
      <x:c r="H45" s="27" t="str">
        <x:f>IF(A45="","",Products!F45)</x:f>
      </x:c>
      <x:c r="I45" s="27" t="str">
        <x:f>IF(A45="","",IF(NOT(ISNUMBER(G45)),"Fix inputs",IF(G45&lt;0,"Negative stock",IF(G45&lt;=H45,"Reorder","In stock"))))</x:f>
      </x:c>
      <x:c r="J45" s="28" t="str">
        <x:f>IF(A45="","",IF(ISNUMBER(G45),G45*Products!E45,"Fix inputs"))</x:f>
      </x:c>
    </x:row>
    <x:row r="46" ht="27" customHeight="1">
      <x:c r="A46" s="25" t="str">
        <x:f>IF(Products!A46="","",Products!A46)</x:f>
      </x:c>
      <x:c r="B46" s="25" t="str">
        <x:f>IF(A46="","",Products!B46)</x:f>
      </x:c>
      <x:c r="C46" s="25" t="str">
        <x:f>IF(A46="","",Products!D46)</x:f>
      </x:c>
      <x:c r="D46" s="25" t="str">
        <x:f>IF(A46="","",SUMIFS(Transactions!$E$6:$E$505,Transactions!$D$6:$D$505,A46,Transactions!$C$6:$C$505,"Purchase",Transactions!$J$6:$J$505,"OK"))</x:f>
      </x:c>
      <x:c r="E46" s="25" t="str">
        <x:f>IF(A46="","",SUMIFS(Transactions!$E$6:$E$505,Transactions!$D$6:$D$505,A46,Transactions!$C$6:$C$505,"Sale",Transactions!$J$6:$J$505,"OK"))</x:f>
      </x:c>
      <x:c r="F46" s="25" t="str">
        <x:f>IF(A46="","",SUMIFS(Transactions!$E$6:$E$505,Transactions!$D$6:$D$505,A46,Transactions!$C$6:$C$505,"Adjustment",Transactions!$J$6:$J$505,"OK"))</x:f>
      </x:c>
      <x:c r="G46" s="25" t="str">
        <x:f>IF(A46="","",IF(OR(Products!G46&lt;&gt;"OK",(COUNTIFS(Transactions!$J$6:$J$505,"Check inputs")+COUNTIFS(Transactions!$J$6:$J$505,"Check sale amounts"))&gt;0),"Fix inputs",C46+D46-E46+F46))</x:f>
      </x:c>
      <x:c r="H46" s="25" t="str">
        <x:f>IF(A46="","",Products!F46)</x:f>
      </x:c>
      <x:c r="I46" s="25" t="str">
        <x:f>IF(A46="","",IF(NOT(ISNUMBER(G46)),"Fix inputs",IF(G46&lt;0,"Negative stock",IF(G46&lt;=H46,"Reorder","In stock"))))</x:f>
      </x:c>
      <x:c r="J46" s="26" t="str">
        <x:f>IF(A46="","",IF(ISNUMBER(G46),G46*Products!E46,"Fix inputs"))</x:f>
      </x:c>
    </x:row>
    <x:row r="47" ht="27" customHeight="1">
      <x:c r="A47" s="27" t="str">
        <x:f>IF(Products!A47="","",Products!A47)</x:f>
      </x:c>
      <x:c r="B47" s="27" t="str">
        <x:f>IF(A47="","",Products!B47)</x:f>
      </x:c>
      <x:c r="C47" s="27" t="str">
        <x:f>IF(A47="","",Products!D47)</x:f>
      </x:c>
      <x:c r="D47" s="27" t="str">
        <x:f>IF(A47="","",SUMIFS(Transactions!$E$6:$E$505,Transactions!$D$6:$D$505,A47,Transactions!$C$6:$C$505,"Purchase",Transactions!$J$6:$J$505,"OK"))</x:f>
      </x:c>
      <x:c r="E47" s="27" t="str">
        <x:f>IF(A47="","",SUMIFS(Transactions!$E$6:$E$505,Transactions!$D$6:$D$505,A47,Transactions!$C$6:$C$505,"Sale",Transactions!$J$6:$J$505,"OK"))</x:f>
      </x:c>
      <x:c r="F47" s="27" t="str">
        <x:f>IF(A47="","",SUMIFS(Transactions!$E$6:$E$505,Transactions!$D$6:$D$505,A47,Transactions!$C$6:$C$505,"Adjustment",Transactions!$J$6:$J$505,"OK"))</x:f>
      </x:c>
      <x:c r="G47" s="27" t="str">
        <x:f>IF(A47="","",IF(OR(Products!G47&lt;&gt;"OK",(COUNTIFS(Transactions!$J$6:$J$505,"Check inputs")+COUNTIFS(Transactions!$J$6:$J$505,"Check sale amounts"))&gt;0),"Fix inputs",C47+D47-E47+F47))</x:f>
      </x:c>
      <x:c r="H47" s="27" t="str">
        <x:f>IF(A47="","",Products!F47)</x:f>
      </x:c>
      <x:c r="I47" s="27" t="str">
        <x:f>IF(A47="","",IF(NOT(ISNUMBER(G47)),"Fix inputs",IF(G47&lt;0,"Negative stock",IF(G47&lt;=H47,"Reorder","In stock"))))</x:f>
      </x:c>
      <x:c r="J47" s="28" t="str">
        <x:f>IF(A47="","",IF(ISNUMBER(G47),G47*Products!E47,"Fix inputs"))</x:f>
      </x:c>
    </x:row>
    <x:row r="48" ht="27" customHeight="1">
      <x:c r="A48" s="25" t="str">
        <x:f>IF(Products!A48="","",Products!A48)</x:f>
      </x:c>
      <x:c r="B48" s="25" t="str">
        <x:f>IF(A48="","",Products!B48)</x:f>
      </x:c>
      <x:c r="C48" s="25" t="str">
        <x:f>IF(A48="","",Products!D48)</x:f>
      </x:c>
      <x:c r="D48" s="25" t="str">
        <x:f>IF(A48="","",SUMIFS(Transactions!$E$6:$E$505,Transactions!$D$6:$D$505,A48,Transactions!$C$6:$C$505,"Purchase",Transactions!$J$6:$J$505,"OK"))</x:f>
      </x:c>
      <x:c r="E48" s="25" t="str">
        <x:f>IF(A48="","",SUMIFS(Transactions!$E$6:$E$505,Transactions!$D$6:$D$505,A48,Transactions!$C$6:$C$505,"Sale",Transactions!$J$6:$J$505,"OK"))</x:f>
      </x:c>
      <x:c r="F48" s="25" t="str">
        <x:f>IF(A48="","",SUMIFS(Transactions!$E$6:$E$505,Transactions!$D$6:$D$505,A48,Transactions!$C$6:$C$505,"Adjustment",Transactions!$J$6:$J$505,"OK"))</x:f>
      </x:c>
      <x:c r="G48" s="25" t="str">
        <x:f>IF(A48="","",IF(OR(Products!G48&lt;&gt;"OK",(COUNTIFS(Transactions!$J$6:$J$505,"Check inputs")+COUNTIFS(Transactions!$J$6:$J$505,"Check sale amounts"))&gt;0),"Fix inputs",C48+D48-E48+F48))</x:f>
      </x:c>
      <x:c r="H48" s="25" t="str">
        <x:f>IF(A48="","",Products!F48)</x:f>
      </x:c>
      <x:c r="I48" s="25" t="str">
        <x:f>IF(A48="","",IF(NOT(ISNUMBER(G48)),"Fix inputs",IF(G48&lt;0,"Negative stock",IF(G48&lt;=H48,"Reorder","In stock"))))</x:f>
      </x:c>
      <x:c r="J48" s="26" t="str">
        <x:f>IF(A48="","",IF(ISNUMBER(G48),G48*Products!E48,"Fix inputs"))</x:f>
      </x:c>
    </x:row>
    <x:row r="49" ht="27" customHeight="1">
      <x:c r="A49" s="27" t="str">
        <x:f>IF(Products!A49="","",Products!A49)</x:f>
      </x:c>
      <x:c r="B49" s="27" t="str">
        <x:f>IF(A49="","",Products!B49)</x:f>
      </x:c>
      <x:c r="C49" s="27" t="str">
        <x:f>IF(A49="","",Products!D49)</x:f>
      </x:c>
      <x:c r="D49" s="27" t="str">
        <x:f>IF(A49="","",SUMIFS(Transactions!$E$6:$E$505,Transactions!$D$6:$D$505,A49,Transactions!$C$6:$C$505,"Purchase",Transactions!$J$6:$J$505,"OK"))</x:f>
      </x:c>
      <x:c r="E49" s="27" t="str">
        <x:f>IF(A49="","",SUMIFS(Transactions!$E$6:$E$505,Transactions!$D$6:$D$505,A49,Transactions!$C$6:$C$505,"Sale",Transactions!$J$6:$J$505,"OK"))</x:f>
      </x:c>
      <x:c r="F49" s="27" t="str">
        <x:f>IF(A49="","",SUMIFS(Transactions!$E$6:$E$505,Transactions!$D$6:$D$505,A49,Transactions!$C$6:$C$505,"Adjustment",Transactions!$J$6:$J$505,"OK"))</x:f>
      </x:c>
      <x:c r="G49" s="27" t="str">
        <x:f>IF(A49="","",IF(OR(Products!G49&lt;&gt;"OK",(COUNTIFS(Transactions!$J$6:$J$505,"Check inputs")+COUNTIFS(Transactions!$J$6:$J$505,"Check sale amounts"))&gt;0),"Fix inputs",C49+D49-E49+F49))</x:f>
      </x:c>
      <x:c r="H49" s="27" t="str">
        <x:f>IF(A49="","",Products!F49)</x:f>
      </x:c>
      <x:c r="I49" s="27" t="str">
        <x:f>IF(A49="","",IF(NOT(ISNUMBER(G49)),"Fix inputs",IF(G49&lt;0,"Negative stock",IF(G49&lt;=H49,"Reorder","In stock"))))</x:f>
      </x:c>
      <x:c r="J49" s="28" t="str">
        <x:f>IF(A49="","",IF(ISNUMBER(G49),G49*Products!E49,"Fix inputs"))</x:f>
      </x:c>
    </x:row>
    <x:row r="50" ht="27" customHeight="1">
      <x:c r="A50" s="25" t="str">
        <x:f>IF(Products!A50="","",Products!A50)</x:f>
      </x:c>
      <x:c r="B50" s="25" t="str">
        <x:f>IF(A50="","",Products!B50)</x:f>
      </x:c>
      <x:c r="C50" s="25" t="str">
        <x:f>IF(A50="","",Products!D50)</x:f>
      </x:c>
      <x:c r="D50" s="25" t="str">
        <x:f>IF(A50="","",SUMIFS(Transactions!$E$6:$E$505,Transactions!$D$6:$D$505,A50,Transactions!$C$6:$C$505,"Purchase",Transactions!$J$6:$J$505,"OK"))</x:f>
      </x:c>
      <x:c r="E50" s="25" t="str">
        <x:f>IF(A50="","",SUMIFS(Transactions!$E$6:$E$505,Transactions!$D$6:$D$505,A50,Transactions!$C$6:$C$505,"Sale",Transactions!$J$6:$J$505,"OK"))</x:f>
      </x:c>
      <x:c r="F50" s="25" t="str">
        <x:f>IF(A50="","",SUMIFS(Transactions!$E$6:$E$505,Transactions!$D$6:$D$505,A50,Transactions!$C$6:$C$505,"Adjustment",Transactions!$J$6:$J$505,"OK"))</x:f>
      </x:c>
      <x:c r="G50" s="25" t="str">
        <x:f>IF(A50="","",IF(OR(Products!G50&lt;&gt;"OK",(COUNTIFS(Transactions!$J$6:$J$505,"Check inputs")+COUNTIFS(Transactions!$J$6:$J$505,"Check sale amounts"))&gt;0),"Fix inputs",C50+D50-E50+F50))</x:f>
      </x:c>
      <x:c r="H50" s="25" t="str">
        <x:f>IF(A50="","",Products!F50)</x:f>
      </x:c>
      <x:c r="I50" s="25" t="str">
        <x:f>IF(A50="","",IF(NOT(ISNUMBER(G50)),"Fix inputs",IF(G50&lt;0,"Negative stock",IF(G50&lt;=H50,"Reorder","In stock"))))</x:f>
      </x:c>
      <x:c r="J50" s="26" t="str">
        <x:f>IF(A50="","",IF(ISNUMBER(G50),G50*Products!E50,"Fix inputs"))</x:f>
      </x:c>
    </x:row>
    <x:row r="51" ht="27" customHeight="1">
      <x:c r="A51" s="27" t="str">
        <x:f>IF(Products!A51="","",Products!A51)</x:f>
      </x:c>
      <x:c r="B51" s="27" t="str">
        <x:f>IF(A51="","",Products!B51)</x:f>
      </x:c>
      <x:c r="C51" s="27" t="str">
        <x:f>IF(A51="","",Products!D51)</x:f>
      </x:c>
      <x:c r="D51" s="27" t="str">
        <x:f>IF(A51="","",SUMIFS(Transactions!$E$6:$E$505,Transactions!$D$6:$D$505,A51,Transactions!$C$6:$C$505,"Purchase",Transactions!$J$6:$J$505,"OK"))</x:f>
      </x:c>
      <x:c r="E51" s="27" t="str">
        <x:f>IF(A51="","",SUMIFS(Transactions!$E$6:$E$505,Transactions!$D$6:$D$505,A51,Transactions!$C$6:$C$505,"Sale",Transactions!$J$6:$J$505,"OK"))</x:f>
      </x:c>
      <x:c r="F51" s="27" t="str">
        <x:f>IF(A51="","",SUMIFS(Transactions!$E$6:$E$505,Transactions!$D$6:$D$505,A51,Transactions!$C$6:$C$505,"Adjustment",Transactions!$J$6:$J$505,"OK"))</x:f>
      </x:c>
      <x:c r="G51" s="27" t="str">
        <x:f>IF(A51="","",IF(OR(Products!G51&lt;&gt;"OK",(COUNTIFS(Transactions!$J$6:$J$505,"Check inputs")+COUNTIFS(Transactions!$J$6:$J$505,"Check sale amounts"))&gt;0),"Fix inputs",C51+D51-E51+F51))</x:f>
      </x:c>
      <x:c r="H51" s="27" t="str">
        <x:f>IF(A51="","",Products!F51)</x:f>
      </x:c>
      <x:c r="I51" s="27" t="str">
        <x:f>IF(A51="","",IF(NOT(ISNUMBER(G51)),"Fix inputs",IF(G51&lt;0,"Negative stock",IF(G51&lt;=H51,"Reorder","In stock"))))</x:f>
      </x:c>
      <x:c r="J51" s="28" t="str">
        <x:f>IF(A51="","",IF(ISNUMBER(G51),G51*Products!E51,"Fix inputs"))</x:f>
      </x:c>
    </x:row>
    <x:row r="52" ht="27" customHeight="1">
      <x:c r="A52" s="25" t="str">
        <x:f>IF(Products!A52="","",Products!A52)</x:f>
      </x:c>
      <x:c r="B52" s="25" t="str">
        <x:f>IF(A52="","",Products!B52)</x:f>
      </x:c>
      <x:c r="C52" s="25" t="str">
        <x:f>IF(A52="","",Products!D52)</x:f>
      </x:c>
      <x:c r="D52" s="25" t="str">
        <x:f>IF(A52="","",SUMIFS(Transactions!$E$6:$E$505,Transactions!$D$6:$D$505,A52,Transactions!$C$6:$C$505,"Purchase",Transactions!$J$6:$J$505,"OK"))</x:f>
      </x:c>
      <x:c r="E52" s="25" t="str">
        <x:f>IF(A52="","",SUMIFS(Transactions!$E$6:$E$505,Transactions!$D$6:$D$505,A52,Transactions!$C$6:$C$505,"Sale",Transactions!$J$6:$J$505,"OK"))</x:f>
      </x:c>
      <x:c r="F52" s="25" t="str">
        <x:f>IF(A52="","",SUMIFS(Transactions!$E$6:$E$505,Transactions!$D$6:$D$505,A52,Transactions!$C$6:$C$505,"Adjustment",Transactions!$J$6:$J$505,"OK"))</x:f>
      </x:c>
      <x:c r="G52" s="25" t="str">
        <x:f>IF(A52="","",IF(OR(Products!G52&lt;&gt;"OK",(COUNTIFS(Transactions!$J$6:$J$505,"Check inputs")+COUNTIFS(Transactions!$J$6:$J$505,"Check sale amounts"))&gt;0),"Fix inputs",C52+D52-E52+F52))</x:f>
      </x:c>
      <x:c r="H52" s="25" t="str">
        <x:f>IF(A52="","",Products!F52)</x:f>
      </x:c>
      <x:c r="I52" s="25" t="str">
        <x:f>IF(A52="","",IF(NOT(ISNUMBER(G52)),"Fix inputs",IF(G52&lt;0,"Negative stock",IF(G52&lt;=H52,"Reorder","In stock"))))</x:f>
      </x:c>
      <x:c r="J52" s="26" t="str">
        <x:f>IF(A52="","",IF(ISNUMBER(G52),G52*Products!E52,"Fix inputs"))</x:f>
      </x:c>
    </x:row>
    <x:row r="53" ht="27" customHeight="1">
      <x:c r="A53" s="27" t="str">
        <x:f>IF(Products!A53="","",Products!A53)</x:f>
      </x:c>
      <x:c r="B53" s="27" t="str">
        <x:f>IF(A53="","",Products!B53)</x:f>
      </x:c>
      <x:c r="C53" s="27" t="str">
        <x:f>IF(A53="","",Products!D53)</x:f>
      </x:c>
      <x:c r="D53" s="27" t="str">
        <x:f>IF(A53="","",SUMIFS(Transactions!$E$6:$E$505,Transactions!$D$6:$D$505,A53,Transactions!$C$6:$C$505,"Purchase",Transactions!$J$6:$J$505,"OK"))</x:f>
      </x:c>
      <x:c r="E53" s="27" t="str">
        <x:f>IF(A53="","",SUMIFS(Transactions!$E$6:$E$505,Transactions!$D$6:$D$505,A53,Transactions!$C$6:$C$505,"Sale",Transactions!$J$6:$J$505,"OK"))</x:f>
      </x:c>
      <x:c r="F53" s="27" t="str">
        <x:f>IF(A53="","",SUMIFS(Transactions!$E$6:$E$505,Transactions!$D$6:$D$505,A53,Transactions!$C$6:$C$505,"Adjustment",Transactions!$J$6:$J$505,"OK"))</x:f>
      </x:c>
      <x:c r="G53" s="27" t="str">
        <x:f>IF(A53="","",IF(OR(Products!G53&lt;&gt;"OK",(COUNTIFS(Transactions!$J$6:$J$505,"Check inputs")+COUNTIFS(Transactions!$J$6:$J$505,"Check sale amounts"))&gt;0),"Fix inputs",C53+D53-E53+F53))</x:f>
      </x:c>
      <x:c r="H53" s="27" t="str">
        <x:f>IF(A53="","",Products!F53)</x:f>
      </x:c>
      <x:c r="I53" s="27" t="str">
        <x:f>IF(A53="","",IF(NOT(ISNUMBER(G53)),"Fix inputs",IF(G53&lt;0,"Negative stock",IF(G53&lt;=H53,"Reorder","In stock"))))</x:f>
      </x:c>
      <x:c r="J53" s="28" t="str">
        <x:f>IF(A53="","",IF(ISNUMBER(G53),G53*Products!E53,"Fix inputs"))</x:f>
      </x:c>
    </x:row>
    <x:row r="54" ht="27" customHeight="1">
      <x:c r="A54" s="25" t="str">
        <x:f>IF(Products!A54="","",Products!A54)</x:f>
      </x:c>
      <x:c r="B54" s="25" t="str">
        <x:f>IF(A54="","",Products!B54)</x:f>
      </x:c>
      <x:c r="C54" s="25" t="str">
        <x:f>IF(A54="","",Products!D54)</x:f>
      </x:c>
      <x:c r="D54" s="25" t="str">
        <x:f>IF(A54="","",SUMIFS(Transactions!$E$6:$E$505,Transactions!$D$6:$D$505,A54,Transactions!$C$6:$C$505,"Purchase",Transactions!$J$6:$J$505,"OK"))</x:f>
      </x:c>
      <x:c r="E54" s="25" t="str">
        <x:f>IF(A54="","",SUMIFS(Transactions!$E$6:$E$505,Transactions!$D$6:$D$505,A54,Transactions!$C$6:$C$505,"Sale",Transactions!$J$6:$J$505,"OK"))</x:f>
      </x:c>
      <x:c r="F54" s="25" t="str">
        <x:f>IF(A54="","",SUMIFS(Transactions!$E$6:$E$505,Transactions!$D$6:$D$505,A54,Transactions!$C$6:$C$505,"Adjustment",Transactions!$J$6:$J$505,"OK"))</x:f>
      </x:c>
      <x:c r="G54" s="25" t="str">
        <x:f>IF(A54="","",IF(OR(Products!G54&lt;&gt;"OK",(COUNTIFS(Transactions!$J$6:$J$505,"Check inputs")+COUNTIFS(Transactions!$J$6:$J$505,"Check sale amounts"))&gt;0),"Fix inputs",C54+D54-E54+F54))</x:f>
      </x:c>
      <x:c r="H54" s="25" t="str">
        <x:f>IF(A54="","",Products!F54)</x:f>
      </x:c>
      <x:c r="I54" s="25" t="str">
        <x:f>IF(A54="","",IF(NOT(ISNUMBER(G54)),"Fix inputs",IF(G54&lt;0,"Negative stock",IF(G54&lt;=H54,"Reorder","In stock"))))</x:f>
      </x:c>
      <x:c r="J54" s="26" t="str">
        <x:f>IF(A54="","",IF(ISNUMBER(G54),G54*Products!E54,"Fix inputs"))</x:f>
      </x:c>
    </x:row>
    <x:row r="55" ht="27" customHeight="1">
      <x:c r="A55" s="27" t="str">
        <x:f>IF(Products!A55="","",Products!A55)</x:f>
      </x:c>
      <x:c r="B55" s="27" t="str">
        <x:f>IF(A55="","",Products!B55)</x:f>
      </x:c>
      <x:c r="C55" s="27" t="str">
        <x:f>IF(A55="","",Products!D55)</x:f>
      </x:c>
      <x:c r="D55" s="27" t="str">
        <x:f>IF(A55="","",SUMIFS(Transactions!$E$6:$E$505,Transactions!$D$6:$D$505,A55,Transactions!$C$6:$C$505,"Purchase",Transactions!$J$6:$J$505,"OK"))</x:f>
      </x:c>
      <x:c r="E55" s="27" t="str">
        <x:f>IF(A55="","",SUMIFS(Transactions!$E$6:$E$505,Transactions!$D$6:$D$505,A55,Transactions!$C$6:$C$505,"Sale",Transactions!$J$6:$J$505,"OK"))</x:f>
      </x:c>
      <x:c r="F55" s="27" t="str">
        <x:f>IF(A55="","",SUMIFS(Transactions!$E$6:$E$505,Transactions!$D$6:$D$505,A55,Transactions!$C$6:$C$505,"Adjustment",Transactions!$J$6:$J$505,"OK"))</x:f>
      </x:c>
      <x:c r="G55" s="27" t="str">
        <x:f>IF(A55="","",IF(OR(Products!G55&lt;&gt;"OK",(COUNTIFS(Transactions!$J$6:$J$505,"Check inputs")+COUNTIFS(Transactions!$J$6:$J$505,"Check sale amounts"))&gt;0),"Fix inputs",C55+D55-E55+F55))</x:f>
      </x:c>
      <x:c r="H55" s="27" t="str">
        <x:f>IF(A55="","",Products!F55)</x:f>
      </x:c>
      <x:c r="I55" s="27" t="str">
        <x:f>IF(A55="","",IF(NOT(ISNUMBER(G55)),"Fix inputs",IF(G55&lt;0,"Negative stock",IF(G55&lt;=H55,"Reorder","In stock"))))</x:f>
      </x:c>
      <x:c r="J55" s="28" t="str">
        <x:f>IF(A55="","",IF(ISNUMBER(G55),G55*Products!E55,"Fix inputs"))</x:f>
      </x:c>
    </x:row>
    <x:row r="56" ht="27" customHeight="1">
      <x:c r="A56" s="25" t="str">
        <x:f>IF(Products!A56="","",Products!A56)</x:f>
      </x:c>
      <x:c r="B56" s="25" t="str">
        <x:f>IF(A56="","",Products!B56)</x:f>
      </x:c>
      <x:c r="C56" s="25" t="str">
        <x:f>IF(A56="","",Products!D56)</x:f>
      </x:c>
      <x:c r="D56" s="25" t="str">
        <x:f>IF(A56="","",SUMIFS(Transactions!$E$6:$E$505,Transactions!$D$6:$D$505,A56,Transactions!$C$6:$C$505,"Purchase",Transactions!$J$6:$J$505,"OK"))</x:f>
      </x:c>
      <x:c r="E56" s="25" t="str">
        <x:f>IF(A56="","",SUMIFS(Transactions!$E$6:$E$505,Transactions!$D$6:$D$505,A56,Transactions!$C$6:$C$505,"Sale",Transactions!$J$6:$J$505,"OK"))</x:f>
      </x:c>
      <x:c r="F56" s="25" t="str">
        <x:f>IF(A56="","",SUMIFS(Transactions!$E$6:$E$505,Transactions!$D$6:$D$505,A56,Transactions!$C$6:$C$505,"Adjustment",Transactions!$J$6:$J$505,"OK"))</x:f>
      </x:c>
      <x:c r="G56" s="25" t="str">
        <x:f>IF(A56="","",IF(OR(Products!G56&lt;&gt;"OK",(COUNTIFS(Transactions!$J$6:$J$505,"Check inputs")+COUNTIFS(Transactions!$J$6:$J$505,"Check sale amounts"))&gt;0),"Fix inputs",C56+D56-E56+F56))</x:f>
      </x:c>
      <x:c r="H56" s="25" t="str">
        <x:f>IF(A56="","",Products!F56)</x:f>
      </x:c>
      <x:c r="I56" s="25" t="str">
        <x:f>IF(A56="","",IF(NOT(ISNUMBER(G56)),"Fix inputs",IF(G56&lt;0,"Negative stock",IF(G56&lt;=H56,"Reorder","In stock"))))</x:f>
      </x:c>
      <x:c r="J56" s="26" t="str">
        <x:f>IF(A56="","",IF(ISNUMBER(G56),G56*Products!E56,"Fix inputs"))</x:f>
      </x:c>
    </x:row>
    <x:row r="57" ht="27" customHeight="1">
      <x:c r="A57" s="27" t="str">
        <x:f>IF(Products!A57="","",Products!A57)</x:f>
      </x:c>
      <x:c r="B57" s="27" t="str">
        <x:f>IF(A57="","",Products!B57)</x:f>
      </x:c>
      <x:c r="C57" s="27" t="str">
        <x:f>IF(A57="","",Products!D57)</x:f>
      </x:c>
      <x:c r="D57" s="27" t="str">
        <x:f>IF(A57="","",SUMIFS(Transactions!$E$6:$E$505,Transactions!$D$6:$D$505,A57,Transactions!$C$6:$C$505,"Purchase",Transactions!$J$6:$J$505,"OK"))</x:f>
      </x:c>
      <x:c r="E57" s="27" t="str">
        <x:f>IF(A57="","",SUMIFS(Transactions!$E$6:$E$505,Transactions!$D$6:$D$505,A57,Transactions!$C$6:$C$505,"Sale",Transactions!$J$6:$J$505,"OK"))</x:f>
      </x:c>
      <x:c r="F57" s="27" t="str">
        <x:f>IF(A57="","",SUMIFS(Transactions!$E$6:$E$505,Transactions!$D$6:$D$505,A57,Transactions!$C$6:$C$505,"Adjustment",Transactions!$J$6:$J$505,"OK"))</x:f>
      </x:c>
      <x:c r="G57" s="27" t="str">
        <x:f>IF(A57="","",IF(OR(Products!G57&lt;&gt;"OK",(COUNTIFS(Transactions!$J$6:$J$505,"Check inputs")+COUNTIFS(Transactions!$J$6:$J$505,"Check sale amounts"))&gt;0),"Fix inputs",C57+D57-E57+F57))</x:f>
      </x:c>
      <x:c r="H57" s="27" t="str">
        <x:f>IF(A57="","",Products!F57)</x:f>
      </x:c>
      <x:c r="I57" s="27" t="str">
        <x:f>IF(A57="","",IF(NOT(ISNUMBER(G57)),"Fix inputs",IF(G57&lt;0,"Negative stock",IF(G57&lt;=H57,"Reorder","In stock"))))</x:f>
      </x:c>
      <x:c r="J57" s="28" t="str">
        <x:f>IF(A57="","",IF(ISNUMBER(G57),G57*Products!E57,"Fix inputs"))</x:f>
      </x:c>
    </x:row>
    <x:row r="58" ht="27" customHeight="1">
      <x:c r="A58" s="25" t="str">
        <x:f>IF(Products!A58="","",Products!A58)</x:f>
      </x:c>
      <x:c r="B58" s="25" t="str">
        <x:f>IF(A58="","",Products!B58)</x:f>
      </x:c>
      <x:c r="C58" s="25" t="str">
        <x:f>IF(A58="","",Products!D58)</x:f>
      </x:c>
      <x:c r="D58" s="25" t="str">
        <x:f>IF(A58="","",SUMIFS(Transactions!$E$6:$E$505,Transactions!$D$6:$D$505,A58,Transactions!$C$6:$C$505,"Purchase",Transactions!$J$6:$J$505,"OK"))</x:f>
      </x:c>
      <x:c r="E58" s="25" t="str">
        <x:f>IF(A58="","",SUMIFS(Transactions!$E$6:$E$505,Transactions!$D$6:$D$505,A58,Transactions!$C$6:$C$505,"Sale",Transactions!$J$6:$J$505,"OK"))</x:f>
      </x:c>
      <x:c r="F58" s="25" t="str">
        <x:f>IF(A58="","",SUMIFS(Transactions!$E$6:$E$505,Transactions!$D$6:$D$505,A58,Transactions!$C$6:$C$505,"Adjustment",Transactions!$J$6:$J$505,"OK"))</x:f>
      </x:c>
      <x:c r="G58" s="25" t="str">
        <x:f>IF(A58="","",IF(OR(Products!G58&lt;&gt;"OK",(COUNTIFS(Transactions!$J$6:$J$505,"Check inputs")+COUNTIFS(Transactions!$J$6:$J$505,"Check sale amounts"))&gt;0),"Fix inputs",C58+D58-E58+F58))</x:f>
      </x:c>
      <x:c r="H58" s="25" t="str">
        <x:f>IF(A58="","",Products!F58)</x:f>
      </x:c>
      <x:c r="I58" s="25" t="str">
        <x:f>IF(A58="","",IF(NOT(ISNUMBER(G58)),"Fix inputs",IF(G58&lt;0,"Negative stock",IF(G58&lt;=H58,"Reorder","In stock"))))</x:f>
      </x:c>
      <x:c r="J58" s="26" t="str">
        <x:f>IF(A58="","",IF(ISNUMBER(G58),G58*Products!E58,"Fix inputs"))</x:f>
      </x:c>
    </x:row>
    <x:row r="59" ht="27" customHeight="1">
      <x:c r="A59" s="27" t="str">
        <x:f>IF(Products!A59="","",Products!A59)</x:f>
      </x:c>
      <x:c r="B59" s="27" t="str">
        <x:f>IF(A59="","",Products!B59)</x:f>
      </x:c>
      <x:c r="C59" s="27" t="str">
        <x:f>IF(A59="","",Products!D59)</x:f>
      </x:c>
      <x:c r="D59" s="27" t="str">
        <x:f>IF(A59="","",SUMIFS(Transactions!$E$6:$E$505,Transactions!$D$6:$D$505,A59,Transactions!$C$6:$C$505,"Purchase",Transactions!$J$6:$J$505,"OK"))</x:f>
      </x:c>
      <x:c r="E59" s="27" t="str">
        <x:f>IF(A59="","",SUMIFS(Transactions!$E$6:$E$505,Transactions!$D$6:$D$505,A59,Transactions!$C$6:$C$505,"Sale",Transactions!$J$6:$J$505,"OK"))</x:f>
      </x:c>
      <x:c r="F59" s="27" t="str">
        <x:f>IF(A59="","",SUMIFS(Transactions!$E$6:$E$505,Transactions!$D$6:$D$505,A59,Transactions!$C$6:$C$505,"Adjustment",Transactions!$J$6:$J$505,"OK"))</x:f>
      </x:c>
      <x:c r="G59" s="27" t="str">
        <x:f>IF(A59="","",IF(OR(Products!G59&lt;&gt;"OK",(COUNTIFS(Transactions!$J$6:$J$505,"Check inputs")+COUNTIFS(Transactions!$J$6:$J$505,"Check sale amounts"))&gt;0),"Fix inputs",C59+D59-E59+F59))</x:f>
      </x:c>
      <x:c r="H59" s="27" t="str">
        <x:f>IF(A59="","",Products!F59)</x:f>
      </x:c>
      <x:c r="I59" s="27" t="str">
        <x:f>IF(A59="","",IF(NOT(ISNUMBER(G59)),"Fix inputs",IF(G59&lt;0,"Negative stock",IF(G59&lt;=H59,"Reorder","In stock"))))</x:f>
      </x:c>
      <x:c r="J59" s="28" t="str">
        <x:f>IF(A59="","",IF(ISNUMBER(G59),G59*Products!E59,"Fix inputs"))</x:f>
      </x:c>
    </x:row>
    <x:row r="60" ht="27" customHeight="1">
      <x:c r="A60" s="25" t="str">
        <x:f>IF(Products!A60="","",Products!A60)</x:f>
      </x:c>
      <x:c r="B60" s="25" t="str">
        <x:f>IF(A60="","",Products!B60)</x:f>
      </x:c>
      <x:c r="C60" s="25" t="str">
        <x:f>IF(A60="","",Products!D60)</x:f>
      </x:c>
      <x:c r="D60" s="25" t="str">
        <x:f>IF(A60="","",SUMIFS(Transactions!$E$6:$E$505,Transactions!$D$6:$D$505,A60,Transactions!$C$6:$C$505,"Purchase",Transactions!$J$6:$J$505,"OK"))</x:f>
      </x:c>
      <x:c r="E60" s="25" t="str">
        <x:f>IF(A60="","",SUMIFS(Transactions!$E$6:$E$505,Transactions!$D$6:$D$505,A60,Transactions!$C$6:$C$505,"Sale",Transactions!$J$6:$J$505,"OK"))</x:f>
      </x:c>
      <x:c r="F60" s="25" t="str">
        <x:f>IF(A60="","",SUMIFS(Transactions!$E$6:$E$505,Transactions!$D$6:$D$505,A60,Transactions!$C$6:$C$505,"Adjustment",Transactions!$J$6:$J$505,"OK"))</x:f>
      </x:c>
      <x:c r="G60" s="25" t="str">
        <x:f>IF(A60="","",IF(OR(Products!G60&lt;&gt;"OK",(COUNTIFS(Transactions!$J$6:$J$505,"Check inputs")+COUNTIFS(Transactions!$J$6:$J$505,"Check sale amounts"))&gt;0),"Fix inputs",C60+D60-E60+F60))</x:f>
      </x:c>
      <x:c r="H60" s="25" t="str">
        <x:f>IF(A60="","",Products!F60)</x:f>
      </x:c>
      <x:c r="I60" s="25" t="str">
        <x:f>IF(A60="","",IF(NOT(ISNUMBER(G60)),"Fix inputs",IF(G60&lt;0,"Negative stock",IF(G60&lt;=H60,"Reorder","In stock"))))</x:f>
      </x:c>
      <x:c r="J60" s="26" t="str">
        <x:f>IF(A60="","",IF(ISNUMBER(G60),G60*Products!E60,"Fix inputs"))</x:f>
      </x:c>
    </x:row>
    <x:row r="61" ht="27" customHeight="1">
      <x:c r="A61" s="27" t="str">
        <x:f>IF(Products!A61="","",Products!A61)</x:f>
      </x:c>
      <x:c r="B61" s="27" t="str">
        <x:f>IF(A61="","",Products!B61)</x:f>
      </x:c>
      <x:c r="C61" s="27" t="str">
        <x:f>IF(A61="","",Products!D61)</x:f>
      </x:c>
      <x:c r="D61" s="27" t="str">
        <x:f>IF(A61="","",SUMIFS(Transactions!$E$6:$E$505,Transactions!$D$6:$D$505,A61,Transactions!$C$6:$C$505,"Purchase",Transactions!$J$6:$J$505,"OK"))</x:f>
      </x:c>
      <x:c r="E61" s="27" t="str">
        <x:f>IF(A61="","",SUMIFS(Transactions!$E$6:$E$505,Transactions!$D$6:$D$505,A61,Transactions!$C$6:$C$505,"Sale",Transactions!$J$6:$J$505,"OK"))</x:f>
      </x:c>
      <x:c r="F61" s="27" t="str">
        <x:f>IF(A61="","",SUMIFS(Transactions!$E$6:$E$505,Transactions!$D$6:$D$505,A61,Transactions!$C$6:$C$505,"Adjustment",Transactions!$J$6:$J$505,"OK"))</x:f>
      </x:c>
      <x:c r="G61" s="27" t="str">
        <x:f>IF(A61="","",IF(OR(Products!G61&lt;&gt;"OK",(COUNTIFS(Transactions!$J$6:$J$505,"Check inputs")+COUNTIFS(Transactions!$J$6:$J$505,"Check sale amounts"))&gt;0),"Fix inputs",C61+D61-E61+F61))</x:f>
      </x:c>
      <x:c r="H61" s="27" t="str">
        <x:f>IF(A61="","",Products!F61)</x:f>
      </x:c>
      <x:c r="I61" s="27" t="str">
        <x:f>IF(A61="","",IF(NOT(ISNUMBER(G61)),"Fix inputs",IF(G61&lt;0,"Negative stock",IF(G61&lt;=H61,"Reorder","In stock"))))</x:f>
      </x:c>
      <x:c r="J61" s="28" t="str">
        <x:f>IF(A61="","",IF(ISNUMBER(G61),G61*Products!E61,"Fix inputs"))</x:f>
      </x:c>
    </x:row>
    <x:row r="62" ht="27" customHeight="1">
      <x:c r="A62" s="25" t="str">
        <x:f>IF(Products!A62="","",Products!A62)</x:f>
      </x:c>
      <x:c r="B62" s="25" t="str">
        <x:f>IF(A62="","",Products!B62)</x:f>
      </x:c>
      <x:c r="C62" s="25" t="str">
        <x:f>IF(A62="","",Products!D62)</x:f>
      </x:c>
      <x:c r="D62" s="25" t="str">
        <x:f>IF(A62="","",SUMIFS(Transactions!$E$6:$E$505,Transactions!$D$6:$D$505,A62,Transactions!$C$6:$C$505,"Purchase",Transactions!$J$6:$J$505,"OK"))</x:f>
      </x:c>
      <x:c r="E62" s="25" t="str">
        <x:f>IF(A62="","",SUMIFS(Transactions!$E$6:$E$505,Transactions!$D$6:$D$505,A62,Transactions!$C$6:$C$505,"Sale",Transactions!$J$6:$J$505,"OK"))</x:f>
      </x:c>
      <x:c r="F62" s="25" t="str">
        <x:f>IF(A62="","",SUMIFS(Transactions!$E$6:$E$505,Transactions!$D$6:$D$505,A62,Transactions!$C$6:$C$505,"Adjustment",Transactions!$J$6:$J$505,"OK"))</x:f>
      </x:c>
      <x:c r="G62" s="25" t="str">
        <x:f>IF(A62="","",IF(OR(Products!G62&lt;&gt;"OK",(COUNTIFS(Transactions!$J$6:$J$505,"Check inputs")+COUNTIFS(Transactions!$J$6:$J$505,"Check sale amounts"))&gt;0),"Fix inputs",C62+D62-E62+F62))</x:f>
      </x:c>
      <x:c r="H62" s="25" t="str">
        <x:f>IF(A62="","",Products!F62)</x:f>
      </x:c>
      <x:c r="I62" s="25" t="str">
        <x:f>IF(A62="","",IF(NOT(ISNUMBER(G62)),"Fix inputs",IF(G62&lt;0,"Negative stock",IF(G62&lt;=H62,"Reorder","In stock"))))</x:f>
      </x:c>
      <x:c r="J62" s="26" t="str">
        <x:f>IF(A62="","",IF(ISNUMBER(G62),G62*Products!E62,"Fix inputs"))</x:f>
      </x:c>
    </x:row>
    <x:row r="63" ht="27" customHeight="1">
      <x:c r="A63" s="27" t="str">
        <x:f>IF(Products!A63="","",Products!A63)</x:f>
      </x:c>
      <x:c r="B63" s="27" t="str">
        <x:f>IF(A63="","",Products!B63)</x:f>
      </x:c>
      <x:c r="C63" s="27" t="str">
        <x:f>IF(A63="","",Products!D63)</x:f>
      </x:c>
      <x:c r="D63" s="27" t="str">
        <x:f>IF(A63="","",SUMIFS(Transactions!$E$6:$E$505,Transactions!$D$6:$D$505,A63,Transactions!$C$6:$C$505,"Purchase",Transactions!$J$6:$J$505,"OK"))</x:f>
      </x:c>
      <x:c r="E63" s="27" t="str">
        <x:f>IF(A63="","",SUMIFS(Transactions!$E$6:$E$505,Transactions!$D$6:$D$505,A63,Transactions!$C$6:$C$505,"Sale",Transactions!$J$6:$J$505,"OK"))</x:f>
      </x:c>
      <x:c r="F63" s="27" t="str">
        <x:f>IF(A63="","",SUMIFS(Transactions!$E$6:$E$505,Transactions!$D$6:$D$505,A63,Transactions!$C$6:$C$505,"Adjustment",Transactions!$J$6:$J$505,"OK"))</x:f>
      </x:c>
      <x:c r="G63" s="27" t="str">
        <x:f>IF(A63="","",IF(OR(Products!G63&lt;&gt;"OK",(COUNTIFS(Transactions!$J$6:$J$505,"Check inputs")+COUNTIFS(Transactions!$J$6:$J$505,"Check sale amounts"))&gt;0),"Fix inputs",C63+D63-E63+F63))</x:f>
      </x:c>
      <x:c r="H63" s="27" t="str">
        <x:f>IF(A63="","",Products!F63)</x:f>
      </x:c>
      <x:c r="I63" s="27" t="str">
        <x:f>IF(A63="","",IF(NOT(ISNUMBER(G63)),"Fix inputs",IF(G63&lt;0,"Negative stock",IF(G63&lt;=H63,"Reorder","In stock"))))</x:f>
      </x:c>
      <x:c r="J63" s="28" t="str">
        <x:f>IF(A63="","",IF(ISNUMBER(G63),G63*Products!E63,"Fix inputs"))</x:f>
      </x:c>
    </x:row>
    <x:row r="64" ht="27" customHeight="1">
      <x:c r="A64" s="25" t="str">
        <x:f>IF(Products!A64="","",Products!A64)</x:f>
      </x:c>
      <x:c r="B64" s="25" t="str">
        <x:f>IF(A64="","",Products!B64)</x:f>
      </x:c>
      <x:c r="C64" s="25" t="str">
        <x:f>IF(A64="","",Products!D64)</x:f>
      </x:c>
      <x:c r="D64" s="25" t="str">
        <x:f>IF(A64="","",SUMIFS(Transactions!$E$6:$E$505,Transactions!$D$6:$D$505,A64,Transactions!$C$6:$C$505,"Purchase",Transactions!$J$6:$J$505,"OK"))</x:f>
      </x:c>
      <x:c r="E64" s="25" t="str">
        <x:f>IF(A64="","",SUMIFS(Transactions!$E$6:$E$505,Transactions!$D$6:$D$505,A64,Transactions!$C$6:$C$505,"Sale",Transactions!$J$6:$J$505,"OK"))</x:f>
      </x:c>
      <x:c r="F64" s="25" t="str">
        <x:f>IF(A64="","",SUMIFS(Transactions!$E$6:$E$505,Transactions!$D$6:$D$505,A64,Transactions!$C$6:$C$505,"Adjustment",Transactions!$J$6:$J$505,"OK"))</x:f>
      </x:c>
      <x:c r="G64" s="25" t="str">
        <x:f>IF(A64="","",IF(OR(Products!G64&lt;&gt;"OK",(COUNTIFS(Transactions!$J$6:$J$505,"Check inputs")+COUNTIFS(Transactions!$J$6:$J$505,"Check sale amounts"))&gt;0),"Fix inputs",C64+D64-E64+F64))</x:f>
      </x:c>
      <x:c r="H64" s="25" t="str">
        <x:f>IF(A64="","",Products!F64)</x:f>
      </x:c>
      <x:c r="I64" s="25" t="str">
        <x:f>IF(A64="","",IF(NOT(ISNUMBER(G64)),"Fix inputs",IF(G64&lt;0,"Negative stock",IF(G64&lt;=H64,"Reorder","In stock"))))</x:f>
      </x:c>
      <x:c r="J64" s="26" t="str">
        <x:f>IF(A64="","",IF(ISNUMBER(G64),G64*Products!E64,"Fix inputs"))</x:f>
      </x:c>
    </x:row>
    <x:row r="65" ht="27" customHeight="1">
      <x:c r="A65" s="27" t="str">
        <x:f>IF(Products!A65="","",Products!A65)</x:f>
      </x:c>
      <x:c r="B65" s="27" t="str">
        <x:f>IF(A65="","",Products!B65)</x:f>
      </x:c>
      <x:c r="C65" s="27" t="str">
        <x:f>IF(A65="","",Products!D65)</x:f>
      </x:c>
      <x:c r="D65" s="27" t="str">
        <x:f>IF(A65="","",SUMIFS(Transactions!$E$6:$E$505,Transactions!$D$6:$D$505,A65,Transactions!$C$6:$C$505,"Purchase",Transactions!$J$6:$J$505,"OK"))</x:f>
      </x:c>
      <x:c r="E65" s="27" t="str">
        <x:f>IF(A65="","",SUMIFS(Transactions!$E$6:$E$505,Transactions!$D$6:$D$505,A65,Transactions!$C$6:$C$505,"Sale",Transactions!$J$6:$J$505,"OK"))</x:f>
      </x:c>
      <x:c r="F65" s="27" t="str">
        <x:f>IF(A65="","",SUMIFS(Transactions!$E$6:$E$505,Transactions!$D$6:$D$505,A65,Transactions!$C$6:$C$505,"Adjustment",Transactions!$J$6:$J$505,"OK"))</x:f>
      </x:c>
      <x:c r="G65" s="27" t="str">
        <x:f>IF(A65="","",IF(OR(Products!G65&lt;&gt;"OK",(COUNTIFS(Transactions!$J$6:$J$505,"Check inputs")+COUNTIFS(Transactions!$J$6:$J$505,"Check sale amounts"))&gt;0),"Fix inputs",C65+D65-E65+F65))</x:f>
      </x:c>
      <x:c r="H65" s="27" t="str">
        <x:f>IF(A65="","",Products!F65)</x:f>
      </x:c>
      <x:c r="I65" s="27" t="str">
        <x:f>IF(A65="","",IF(NOT(ISNUMBER(G65)),"Fix inputs",IF(G65&lt;0,"Negative stock",IF(G65&lt;=H65,"Reorder","In stock"))))</x:f>
      </x:c>
      <x:c r="J65" s="28" t="str">
        <x:f>IF(A65="","",IF(ISNUMBER(G65),G65*Products!E65,"Fix inputs"))</x:f>
      </x:c>
    </x:row>
    <x:row r="66" ht="27" customHeight="1">
      <x:c r="A66" s="25" t="str">
        <x:f>IF(Products!A66="","",Products!A66)</x:f>
      </x:c>
      <x:c r="B66" s="25" t="str">
        <x:f>IF(A66="","",Products!B66)</x:f>
      </x:c>
      <x:c r="C66" s="25" t="str">
        <x:f>IF(A66="","",Products!D66)</x:f>
      </x:c>
      <x:c r="D66" s="25" t="str">
        <x:f>IF(A66="","",SUMIFS(Transactions!$E$6:$E$505,Transactions!$D$6:$D$505,A66,Transactions!$C$6:$C$505,"Purchase",Transactions!$J$6:$J$505,"OK"))</x:f>
      </x:c>
      <x:c r="E66" s="25" t="str">
        <x:f>IF(A66="","",SUMIFS(Transactions!$E$6:$E$505,Transactions!$D$6:$D$505,A66,Transactions!$C$6:$C$505,"Sale",Transactions!$J$6:$J$505,"OK"))</x:f>
      </x:c>
      <x:c r="F66" s="25" t="str">
        <x:f>IF(A66="","",SUMIFS(Transactions!$E$6:$E$505,Transactions!$D$6:$D$505,A66,Transactions!$C$6:$C$505,"Adjustment",Transactions!$J$6:$J$505,"OK"))</x:f>
      </x:c>
      <x:c r="G66" s="25" t="str">
        <x:f>IF(A66="","",IF(OR(Products!G66&lt;&gt;"OK",(COUNTIFS(Transactions!$J$6:$J$505,"Check inputs")+COUNTIFS(Transactions!$J$6:$J$505,"Check sale amounts"))&gt;0),"Fix inputs",C66+D66-E66+F66))</x:f>
      </x:c>
      <x:c r="H66" s="25" t="str">
        <x:f>IF(A66="","",Products!F66)</x:f>
      </x:c>
      <x:c r="I66" s="25" t="str">
        <x:f>IF(A66="","",IF(NOT(ISNUMBER(G66)),"Fix inputs",IF(G66&lt;0,"Negative stock",IF(G66&lt;=H66,"Reorder","In stock"))))</x:f>
      </x:c>
      <x:c r="J66" s="26" t="str">
        <x:f>IF(A66="","",IF(ISNUMBER(G66),G66*Products!E66,"Fix inputs"))</x:f>
      </x:c>
    </x:row>
    <x:row r="67" ht="27" customHeight="1">
      <x:c r="A67" s="27" t="str">
        <x:f>IF(Products!A67="","",Products!A67)</x:f>
      </x:c>
      <x:c r="B67" s="27" t="str">
        <x:f>IF(A67="","",Products!B67)</x:f>
      </x:c>
      <x:c r="C67" s="27" t="str">
        <x:f>IF(A67="","",Products!D67)</x:f>
      </x:c>
      <x:c r="D67" s="27" t="str">
        <x:f>IF(A67="","",SUMIFS(Transactions!$E$6:$E$505,Transactions!$D$6:$D$505,A67,Transactions!$C$6:$C$505,"Purchase",Transactions!$J$6:$J$505,"OK"))</x:f>
      </x:c>
      <x:c r="E67" s="27" t="str">
        <x:f>IF(A67="","",SUMIFS(Transactions!$E$6:$E$505,Transactions!$D$6:$D$505,A67,Transactions!$C$6:$C$505,"Sale",Transactions!$J$6:$J$505,"OK"))</x:f>
      </x:c>
      <x:c r="F67" s="27" t="str">
        <x:f>IF(A67="","",SUMIFS(Transactions!$E$6:$E$505,Transactions!$D$6:$D$505,A67,Transactions!$C$6:$C$505,"Adjustment",Transactions!$J$6:$J$505,"OK"))</x:f>
      </x:c>
      <x:c r="G67" s="27" t="str">
        <x:f>IF(A67="","",IF(OR(Products!G67&lt;&gt;"OK",(COUNTIFS(Transactions!$J$6:$J$505,"Check inputs")+COUNTIFS(Transactions!$J$6:$J$505,"Check sale amounts"))&gt;0),"Fix inputs",C67+D67-E67+F67))</x:f>
      </x:c>
      <x:c r="H67" s="27" t="str">
        <x:f>IF(A67="","",Products!F67)</x:f>
      </x:c>
      <x:c r="I67" s="27" t="str">
        <x:f>IF(A67="","",IF(NOT(ISNUMBER(G67)),"Fix inputs",IF(G67&lt;0,"Negative stock",IF(G67&lt;=H67,"Reorder","In stock"))))</x:f>
      </x:c>
      <x:c r="J67" s="28" t="str">
        <x:f>IF(A67="","",IF(ISNUMBER(G67),G67*Products!E67,"Fix inputs"))</x:f>
      </x:c>
    </x:row>
    <x:row r="68" ht="27" customHeight="1">
      <x:c r="A68" s="25" t="str">
        <x:f>IF(Products!A68="","",Products!A68)</x:f>
      </x:c>
      <x:c r="B68" s="25" t="str">
        <x:f>IF(A68="","",Products!B68)</x:f>
      </x:c>
      <x:c r="C68" s="25" t="str">
        <x:f>IF(A68="","",Products!D68)</x:f>
      </x:c>
      <x:c r="D68" s="25" t="str">
        <x:f>IF(A68="","",SUMIFS(Transactions!$E$6:$E$505,Transactions!$D$6:$D$505,A68,Transactions!$C$6:$C$505,"Purchase",Transactions!$J$6:$J$505,"OK"))</x:f>
      </x:c>
      <x:c r="E68" s="25" t="str">
        <x:f>IF(A68="","",SUMIFS(Transactions!$E$6:$E$505,Transactions!$D$6:$D$505,A68,Transactions!$C$6:$C$505,"Sale",Transactions!$J$6:$J$505,"OK"))</x:f>
      </x:c>
      <x:c r="F68" s="25" t="str">
        <x:f>IF(A68="","",SUMIFS(Transactions!$E$6:$E$505,Transactions!$D$6:$D$505,A68,Transactions!$C$6:$C$505,"Adjustment",Transactions!$J$6:$J$505,"OK"))</x:f>
      </x:c>
      <x:c r="G68" s="25" t="str">
        <x:f>IF(A68="","",IF(OR(Products!G68&lt;&gt;"OK",(COUNTIFS(Transactions!$J$6:$J$505,"Check inputs")+COUNTIFS(Transactions!$J$6:$J$505,"Check sale amounts"))&gt;0),"Fix inputs",C68+D68-E68+F68))</x:f>
      </x:c>
      <x:c r="H68" s="25" t="str">
        <x:f>IF(A68="","",Products!F68)</x:f>
      </x:c>
      <x:c r="I68" s="25" t="str">
        <x:f>IF(A68="","",IF(NOT(ISNUMBER(G68)),"Fix inputs",IF(G68&lt;0,"Negative stock",IF(G68&lt;=H68,"Reorder","In stock"))))</x:f>
      </x:c>
      <x:c r="J68" s="26" t="str">
        <x:f>IF(A68="","",IF(ISNUMBER(G68),G68*Products!E68,"Fix inputs"))</x:f>
      </x:c>
    </x:row>
    <x:row r="69" ht="27" customHeight="1">
      <x:c r="A69" s="27" t="str">
        <x:f>IF(Products!A69="","",Products!A69)</x:f>
      </x:c>
      <x:c r="B69" s="27" t="str">
        <x:f>IF(A69="","",Products!B69)</x:f>
      </x:c>
      <x:c r="C69" s="27" t="str">
        <x:f>IF(A69="","",Products!D69)</x:f>
      </x:c>
      <x:c r="D69" s="27" t="str">
        <x:f>IF(A69="","",SUMIFS(Transactions!$E$6:$E$505,Transactions!$D$6:$D$505,A69,Transactions!$C$6:$C$505,"Purchase",Transactions!$J$6:$J$505,"OK"))</x:f>
      </x:c>
      <x:c r="E69" s="27" t="str">
        <x:f>IF(A69="","",SUMIFS(Transactions!$E$6:$E$505,Transactions!$D$6:$D$505,A69,Transactions!$C$6:$C$505,"Sale",Transactions!$J$6:$J$505,"OK"))</x:f>
      </x:c>
      <x:c r="F69" s="27" t="str">
        <x:f>IF(A69="","",SUMIFS(Transactions!$E$6:$E$505,Transactions!$D$6:$D$505,A69,Transactions!$C$6:$C$505,"Adjustment",Transactions!$J$6:$J$505,"OK"))</x:f>
      </x:c>
      <x:c r="G69" s="27" t="str">
        <x:f>IF(A69="","",IF(OR(Products!G69&lt;&gt;"OK",(COUNTIFS(Transactions!$J$6:$J$505,"Check inputs")+COUNTIFS(Transactions!$J$6:$J$505,"Check sale amounts"))&gt;0),"Fix inputs",C69+D69-E69+F69))</x:f>
      </x:c>
      <x:c r="H69" s="27" t="str">
        <x:f>IF(A69="","",Products!F69)</x:f>
      </x:c>
      <x:c r="I69" s="27" t="str">
        <x:f>IF(A69="","",IF(NOT(ISNUMBER(G69)),"Fix inputs",IF(G69&lt;0,"Negative stock",IF(G69&lt;=H69,"Reorder","In stock"))))</x:f>
      </x:c>
      <x:c r="J69" s="28" t="str">
        <x:f>IF(A69="","",IF(ISNUMBER(G69),G69*Products!E69,"Fix inputs"))</x:f>
      </x:c>
    </x:row>
    <x:row r="70" ht="27" customHeight="1">
      <x:c r="A70" s="25" t="str">
        <x:f>IF(Products!A70="","",Products!A70)</x:f>
      </x:c>
      <x:c r="B70" s="25" t="str">
        <x:f>IF(A70="","",Products!B70)</x:f>
      </x:c>
      <x:c r="C70" s="25" t="str">
        <x:f>IF(A70="","",Products!D70)</x:f>
      </x:c>
      <x:c r="D70" s="25" t="str">
        <x:f>IF(A70="","",SUMIFS(Transactions!$E$6:$E$505,Transactions!$D$6:$D$505,A70,Transactions!$C$6:$C$505,"Purchase",Transactions!$J$6:$J$505,"OK"))</x:f>
      </x:c>
      <x:c r="E70" s="25" t="str">
        <x:f>IF(A70="","",SUMIFS(Transactions!$E$6:$E$505,Transactions!$D$6:$D$505,A70,Transactions!$C$6:$C$505,"Sale",Transactions!$J$6:$J$505,"OK"))</x:f>
      </x:c>
      <x:c r="F70" s="25" t="str">
        <x:f>IF(A70="","",SUMIFS(Transactions!$E$6:$E$505,Transactions!$D$6:$D$505,A70,Transactions!$C$6:$C$505,"Adjustment",Transactions!$J$6:$J$505,"OK"))</x:f>
      </x:c>
      <x:c r="G70" s="25" t="str">
        <x:f>IF(A70="","",IF(OR(Products!G70&lt;&gt;"OK",(COUNTIFS(Transactions!$J$6:$J$505,"Check inputs")+COUNTIFS(Transactions!$J$6:$J$505,"Check sale amounts"))&gt;0),"Fix inputs",C70+D70-E70+F70))</x:f>
      </x:c>
      <x:c r="H70" s="25" t="str">
        <x:f>IF(A70="","",Products!F70)</x:f>
      </x:c>
      <x:c r="I70" s="25" t="str">
        <x:f>IF(A70="","",IF(NOT(ISNUMBER(G70)),"Fix inputs",IF(G70&lt;0,"Negative stock",IF(G70&lt;=H70,"Reorder","In stock"))))</x:f>
      </x:c>
      <x:c r="J70" s="26" t="str">
        <x:f>IF(A70="","",IF(ISNUMBER(G70),G70*Products!E70,"Fix inputs"))</x:f>
      </x:c>
    </x:row>
    <x:row r="71" ht="27" customHeight="1">
      <x:c r="A71" s="27" t="str">
        <x:f>IF(Products!A71="","",Products!A71)</x:f>
      </x:c>
      <x:c r="B71" s="27" t="str">
        <x:f>IF(A71="","",Products!B71)</x:f>
      </x:c>
      <x:c r="C71" s="27" t="str">
        <x:f>IF(A71="","",Products!D71)</x:f>
      </x:c>
      <x:c r="D71" s="27" t="str">
        <x:f>IF(A71="","",SUMIFS(Transactions!$E$6:$E$505,Transactions!$D$6:$D$505,A71,Transactions!$C$6:$C$505,"Purchase",Transactions!$J$6:$J$505,"OK"))</x:f>
      </x:c>
      <x:c r="E71" s="27" t="str">
        <x:f>IF(A71="","",SUMIFS(Transactions!$E$6:$E$505,Transactions!$D$6:$D$505,A71,Transactions!$C$6:$C$505,"Sale",Transactions!$J$6:$J$505,"OK"))</x:f>
      </x:c>
      <x:c r="F71" s="27" t="str">
        <x:f>IF(A71="","",SUMIFS(Transactions!$E$6:$E$505,Transactions!$D$6:$D$505,A71,Transactions!$C$6:$C$505,"Adjustment",Transactions!$J$6:$J$505,"OK"))</x:f>
      </x:c>
      <x:c r="G71" s="27" t="str">
        <x:f>IF(A71="","",IF(OR(Products!G71&lt;&gt;"OK",(COUNTIFS(Transactions!$J$6:$J$505,"Check inputs")+COUNTIFS(Transactions!$J$6:$J$505,"Check sale amounts"))&gt;0),"Fix inputs",C71+D71-E71+F71))</x:f>
      </x:c>
      <x:c r="H71" s="27" t="str">
        <x:f>IF(A71="","",Products!F71)</x:f>
      </x:c>
      <x:c r="I71" s="27" t="str">
        <x:f>IF(A71="","",IF(NOT(ISNUMBER(G71)),"Fix inputs",IF(G71&lt;0,"Negative stock",IF(G71&lt;=H71,"Reorder","In stock"))))</x:f>
      </x:c>
      <x:c r="J71" s="28" t="str">
        <x:f>IF(A71="","",IF(ISNUMBER(G71),G71*Products!E71,"Fix inputs"))</x:f>
      </x:c>
    </x:row>
    <x:row r="72" ht="27" customHeight="1">
      <x:c r="A72" s="25" t="str">
        <x:f>IF(Products!A72="","",Products!A72)</x:f>
      </x:c>
      <x:c r="B72" s="25" t="str">
        <x:f>IF(A72="","",Products!B72)</x:f>
      </x:c>
      <x:c r="C72" s="25" t="str">
        <x:f>IF(A72="","",Products!D72)</x:f>
      </x:c>
      <x:c r="D72" s="25" t="str">
        <x:f>IF(A72="","",SUMIFS(Transactions!$E$6:$E$505,Transactions!$D$6:$D$505,A72,Transactions!$C$6:$C$505,"Purchase",Transactions!$J$6:$J$505,"OK"))</x:f>
      </x:c>
      <x:c r="E72" s="25" t="str">
        <x:f>IF(A72="","",SUMIFS(Transactions!$E$6:$E$505,Transactions!$D$6:$D$505,A72,Transactions!$C$6:$C$505,"Sale",Transactions!$J$6:$J$505,"OK"))</x:f>
      </x:c>
      <x:c r="F72" s="25" t="str">
        <x:f>IF(A72="","",SUMIFS(Transactions!$E$6:$E$505,Transactions!$D$6:$D$505,A72,Transactions!$C$6:$C$505,"Adjustment",Transactions!$J$6:$J$505,"OK"))</x:f>
      </x:c>
      <x:c r="G72" s="25" t="str">
        <x:f>IF(A72="","",IF(OR(Products!G72&lt;&gt;"OK",(COUNTIFS(Transactions!$J$6:$J$505,"Check inputs")+COUNTIFS(Transactions!$J$6:$J$505,"Check sale amounts"))&gt;0),"Fix inputs",C72+D72-E72+F72))</x:f>
      </x:c>
      <x:c r="H72" s="25" t="str">
        <x:f>IF(A72="","",Products!F72)</x:f>
      </x:c>
      <x:c r="I72" s="25" t="str">
        <x:f>IF(A72="","",IF(NOT(ISNUMBER(G72)),"Fix inputs",IF(G72&lt;0,"Negative stock",IF(G72&lt;=H72,"Reorder","In stock"))))</x:f>
      </x:c>
      <x:c r="J72" s="26" t="str">
        <x:f>IF(A72="","",IF(ISNUMBER(G72),G72*Products!E72,"Fix inputs"))</x:f>
      </x:c>
    </x:row>
    <x:row r="73" ht="27" customHeight="1">
      <x:c r="A73" s="27" t="str">
        <x:f>IF(Products!A73="","",Products!A73)</x:f>
      </x:c>
      <x:c r="B73" s="27" t="str">
        <x:f>IF(A73="","",Products!B73)</x:f>
      </x:c>
      <x:c r="C73" s="27" t="str">
        <x:f>IF(A73="","",Products!D73)</x:f>
      </x:c>
      <x:c r="D73" s="27" t="str">
        <x:f>IF(A73="","",SUMIFS(Transactions!$E$6:$E$505,Transactions!$D$6:$D$505,A73,Transactions!$C$6:$C$505,"Purchase",Transactions!$J$6:$J$505,"OK"))</x:f>
      </x:c>
      <x:c r="E73" s="27" t="str">
        <x:f>IF(A73="","",SUMIFS(Transactions!$E$6:$E$505,Transactions!$D$6:$D$505,A73,Transactions!$C$6:$C$505,"Sale",Transactions!$J$6:$J$505,"OK"))</x:f>
      </x:c>
      <x:c r="F73" s="27" t="str">
        <x:f>IF(A73="","",SUMIFS(Transactions!$E$6:$E$505,Transactions!$D$6:$D$505,A73,Transactions!$C$6:$C$505,"Adjustment",Transactions!$J$6:$J$505,"OK"))</x:f>
      </x:c>
      <x:c r="G73" s="27" t="str">
        <x:f>IF(A73="","",IF(OR(Products!G73&lt;&gt;"OK",(COUNTIFS(Transactions!$J$6:$J$505,"Check inputs")+COUNTIFS(Transactions!$J$6:$J$505,"Check sale amounts"))&gt;0),"Fix inputs",C73+D73-E73+F73))</x:f>
      </x:c>
      <x:c r="H73" s="27" t="str">
        <x:f>IF(A73="","",Products!F73)</x:f>
      </x:c>
      <x:c r="I73" s="27" t="str">
        <x:f>IF(A73="","",IF(NOT(ISNUMBER(G73)),"Fix inputs",IF(G73&lt;0,"Negative stock",IF(G73&lt;=H73,"Reorder","In stock"))))</x:f>
      </x:c>
      <x:c r="J73" s="28" t="str">
        <x:f>IF(A73="","",IF(ISNUMBER(G73),G73*Products!E73,"Fix inputs"))</x:f>
      </x:c>
    </x:row>
    <x:row r="74" ht="27" customHeight="1">
      <x:c r="A74" s="25" t="str">
        <x:f>IF(Products!A74="","",Products!A74)</x:f>
      </x:c>
      <x:c r="B74" s="25" t="str">
        <x:f>IF(A74="","",Products!B74)</x:f>
      </x:c>
      <x:c r="C74" s="25" t="str">
        <x:f>IF(A74="","",Products!D74)</x:f>
      </x:c>
      <x:c r="D74" s="25" t="str">
        <x:f>IF(A74="","",SUMIFS(Transactions!$E$6:$E$505,Transactions!$D$6:$D$505,A74,Transactions!$C$6:$C$505,"Purchase",Transactions!$J$6:$J$505,"OK"))</x:f>
      </x:c>
      <x:c r="E74" s="25" t="str">
        <x:f>IF(A74="","",SUMIFS(Transactions!$E$6:$E$505,Transactions!$D$6:$D$505,A74,Transactions!$C$6:$C$505,"Sale",Transactions!$J$6:$J$505,"OK"))</x:f>
      </x:c>
      <x:c r="F74" s="25" t="str">
        <x:f>IF(A74="","",SUMIFS(Transactions!$E$6:$E$505,Transactions!$D$6:$D$505,A74,Transactions!$C$6:$C$505,"Adjustment",Transactions!$J$6:$J$505,"OK"))</x:f>
      </x:c>
      <x:c r="G74" s="25" t="str">
        <x:f>IF(A74="","",IF(OR(Products!G74&lt;&gt;"OK",(COUNTIFS(Transactions!$J$6:$J$505,"Check inputs")+COUNTIFS(Transactions!$J$6:$J$505,"Check sale amounts"))&gt;0),"Fix inputs",C74+D74-E74+F74))</x:f>
      </x:c>
      <x:c r="H74" s="25" t="str">
        <x:f>IF(A74="","",Products!F74)</x:f>
      </x:c>
      <x:c r="I74" s="25" t="str">
        <x:f>IF(A74="","",IF(NOT(ISNUMBER(G74)),"Fix inputs",IF(G74&lt;0,"Negative stock",IF(G74&lt;=H74,"Reorder","In stock"))))</x:f>
      </x:c>
      <x:c r="J74" s="26" t="str">
        <x:f>IF(A74="","",IF(ISNUMBER(G74),G74*Products!E74,"Fix inputs"))</x:f>
      </x:c>
    </x:row>
    <x:row r="75" ht="27" customHeight="1">
      <x:c r="A75" s="27" t="str">
        <x:f>IF(Products!A75="","",Products!A75)</x:f>
      </x:c>
      <x:c r="B75" s="27" t="str">
        <x:f>IF(A75="","",Products!B75)</x:f>
      </x:c>
      <x:c r="C75" s="27" t="str">
        <x:f>IF(A75="","",Products!D75)</x:f>
      </x:c>
      <x:c r="D75" s="27" t="str">
        <x:f>IF(A75="","",SUMIFS(Transactions!$E$6:$E$505,Transactions!$D$6:$D$505,A75,Transactions!$C$6:$C$505,"Purchase",Transactions!$J$6:$J$505,"OK"))</x:f>
      </x:c>
      <x:c r="E75" s="27" t="str">
        <x:f>IF(A75="","",SUMIFS(Transactions!$E$6:$E$505,Transactions!$D$6:$D$505,A75,Transactions!$C$6:$C$505,"Sale",Transactions!$J$6:$J$505,"OK"))</x:f>
      </x:c>
      <x:c r="F75" s="27" t="str">
        <x:f>IF(A75="","",SUMIFS(Transactions!$E$6:$E$505,Transactions!$D$6:$D$505,A75,Transactions!$C$6:$C$505,"Adjustment",Transactions!$J$6:$J$505,"OK"))</x:f>
      </x:c>
      <x:c r="G75" s="27" t="str">
        <x:f>IF(A75="","",IF(OR(Products!G75&lt;&gt;"OK",(COUNTIFS(Transactions!$J$6:$J$505,"Check inputs")+COUNTIFS(Transactions!$J$6:$J$505,"Check sale amounts"))&gt;0),"Fix inputs",C75+D75-E75+F75))</x:f>
      </x:c>
      <x:c r="H75" s="27" t="str">
        <x:f>IF(A75="","",Products!F75)</x:f>
      </x:c>
      <x:c r="I75" s="27" t="str">
        <x:f>IF(A75="","",IF(NOT(ISNUMBER(G75)),"Fix inputs",IF(G75&lt;0,"Negative stock",IF(G75&lt;=H75,"Reorder","In stock"))))</x:f>
      </x:c>
      <x:c r="J75" s="28" t="str">
        <x:f>IF(A75="","",IF(ISNUMBER(G75),G75*Products!E75,"Fix inputs"))</x:f>
      </x:c>
    </x:row>
    <x:row r="76" ht="27" customHeight="1">
      <x:c r="A76" s="25" t="str">
        <x:f>IF(Products!A76="","",Products!A76)</x:f>
      </x:c>
      <x:c r="B76" s="25" t="str">
        <x:f>IF(A76="","",Products!B76)</x:f>
      </x:c>
      <x:c r="C76" s="25" t="str">
        <x:f>IF(A76="","",Products!D76)</x:f>
      </x:c>
      <x:c r="D76" s="25" t="str">
        <x:f>IF(A76="","",SUMIFS(Transactions!$E$6:$E$505,Transactions!$D$6:$D$505,A76,Transactions!$C$6:$C$505,"Purchase",Transactions!$J$6:$J$505,"OK"))</x:f>
      </x:c>
      <x:c r="E76" s="25" t="str">
        <x:f>IF(A76="","",SUMIFS(Transactions!$E$6:$E$505,Transactions!$D$6:$D$505,A76,Transactions!$C$6:$C$505,"Sale",Transactions!$J$6:$J$505,"OK"))</x:f>
      </x:c>
      <x:c r="F76" s="25" t="str">
        <x:f>IF(A76="","",SUMIFS(Transactions!$E$6:$E$505,Transactions!$D$6:$D$505,A76,Transactions!$C$6:$C$505,"Adjustment",Transactions!$J$6:$J$505,"OK"))</x:f>
      </x:c>
      <x:c r="G76" s="25" t="str">
        <x:f>IF(A76="","",IF(OR(Products!G76&lt;&gt;"OK",(COUNTIFS(Transactions!$J$6:$J$505,"Check inputs")+COUNTIFS(Transactions!$J$6:$J$505,"Check sale amounts"))&gt;0),"Fix inputs",C76+D76-E76+F76))</x:f>
      </x:c>
      <x:c r="H76" s="25" t="str">
        <x:f>IF(A76="","",Products!F76)</x:f>
      </x:c>
      <x:c r="I76" s="25" t="str">
        <x:f>IF(A76="","",IF(NOT(ISNUMBER(G76)),"Fix inputs",IF(G76&lt;0,"Negative stock",IF(G76&lt;=H76,"Reorder","In stock"))))</x:f>
      </x:c>
      <x:c r="J76" s="26" t="str">
        <x:f>IF(A76="","",IF(ISNUMBER(G76),G76*Products!E76,"Fix inputs"))</x:f>
      </x:c>
    </x:row>
    <x:row r="77" ht="27" customHeight="1">
      <x:c r="A77" s="27" t="str">
        <x:f>IF(Products!A77="","",Products!A77)</x:f>
      </x:c>
      <x:c r="B77" s="27" t="str">
        <x:f>IF(A77="","",Products!B77)</x:f>
      </x:c>
      <x:c r="C77" s="27" t="str">
        <x:f>IF(A77="","",Products!D77)</x:f>
      </x:c>
      <x:c r="D77" s="27" t="str">
        <x:f>IF(A77="","",SUMIFS(Transactions!$E$6:$E$505,Transactions!$D$6:$D$505,A77,Transactions!$C$6:$C$505,"Purchase",Transactions!$J$6:$J$505,"OK"))</x:f>
      </x:c>
      <x:c r="E77" s="27" t="str">
        <x:f>IF(A77="","",SUMIFS(Transactions!$E$6:$E$505,Transactions!$D$6:$D$505,A77,Transactions!$C$6:$C$505,"Sale",Transactions!$J$6:$J$505,"OK"))</x:f>
      </x:c>
      <x:c r="F77" s="27" t="str">
        <x:f>IF(A77="","",SUMIFS(Transactions!$E$6:$E$505,Transactions!$D$6:$D$505,A77,Transactions!$C$6:$C$505,"Adjustment",Transactions!$J$6:$J$505,"OK"))</x:f>
      </x:c>
      <x:c r="G77" s="27" t="str">
        <x:f>IF(A77="","",IF(OR(Products!G77&lt;&gt;"OK",(COUNTIFS(Transactions!$J$6:$J$505,"Check inputs")+COUNTIFS(Transactions!$J$6:$J$505,"Check sale amounts"))&gt;0),"Fix inputs",C77+D77-E77+F77))</x:f>
      </x:c>
      <x:c r="H77" s="27" t="str">
        <x:f>IF(A77="","",Products!F77)</x:f>
      </x:c>
      <x:c r="I77" s="27" t="str">
        <x:f>IF(A77="","",IF(NOT(ISNUMBER(G77)),"Fix inputs",IF(G77&lt;0,"Negative stock",IF(G77&lt;=H77,"Reorder","In stock"))))</x:f>
      </x:c>
      <x:c r="J77" s="28" t="str">
        <x:f>IF(A77="","",IF(ISNUMBER(G77),G77*Products!E77,"Fix inputs"))</x:f>
      </x:c>
    </x:row>
    <x:row r="78" ht="27" customHeight="1">
      <x:c r="A78" s="25" t="str">
        <x:f>IF(Products!A78="","",Products!A78)</x:f>
      </x:c>
      <x:c r="B78" s="25" t="str">
        <x:f>IF(A78="","",Products!B78)</x:f>
      </x:c>
      <x:c r="C78" s="25" t="str">
        <x:f>IF(A78="","",Products!D78)</x:f>
      </x:c>
      <x:c r="D78" s="25" t="str">
        <x:f>IF(A78="","",SUMIFS(Transactions!$E$6:$E$505,Transactions!$D$6:$D$505,A78,Transactions!$C$6:$C$505,"Purchase",Transactions!$J$6:$J$505,"OK"))</x:f>
      </x:c>
      <x:c r="E78" s="25" t="str">
        <x:f>IF(A78="","",SUMIFS(Transactions!$E$6:$E$505,Transactions!$D$6:$D$505,A78,Transactions!$C$6:$C$505,"Sale",Transactions!$J$6:$J$505,"OK"))</x:f>
      </x:c>
      <x:c r="F78" s="25" t="str">
        <x:f>IF(A78="","",SUMIFS(Transactions!$E$6:$E$505,Transactions!$D$6:$D$505,A78,Transactions!$C$6:$C$505,"Adjustment",Transactions!$J$6:$J$505,"OK"))</x:f>
      </x:c>
      <x:c r="G78" s="25" t="str">
        <x:f>IF(A78="","",IF(OR(Products!G78&lt;&gt;"OK",(COUNTIFS(Transactions!$J$6:$J$505,"Check inputs")+COUNTIFS(Transactions!$J$6:$J$505,"Check sale amounts"))&gt;0),"Fix inputs",C78+D78-E78+F78))</x:f>
      </x:c>
      <x:c r="H78" s="25" t="str">
        <x:f>IF(A78="","",Products!F78)</x:f>
      </x:c>
      <x:c r="I78" s="25" t="str">
        <x:f>IF(A78="","",IF(NOT(ISNUMBER(G78)),"Fix inputs",IF(G78&lt;0,"Negative stock",IF(G78&lt;=H78,"Reorder","In stock"))))</x:f>
      </x:c>
      <x:c r="J78" s="26" t="str">
        <x:f>IF(A78="","",IF(ISNUMBER(G78),G78*Products!E78,"Fix inputs"))</x:f>
      </x:c>
    </x:row>
    <x:row r="79" ht="27" customHeight="1">
      <x:c r="A79" s="27" t="str">
        <x:f>IF(Products!A79="","",Products!A79)</x:f>
      </x:c>
      <x:c r="B79" s="27" t="str">
        <x:f>IF(A79="","",Products!B79)</x:f>
      </x:c>
      <x:c r="C79" s="27" t="str">
        <x:f>IF(A79="","",Products!D79)</x:f>
      </x:c>
      <x:c r="D79" s="27" t="str">
        <x:f>IF(A79="","",SUMIFS(Transactions!$E$6:$E$505,Transactions!$D$6:$D$505,A79,Transactions!$C$6:$C$505,"Purchase",Transactions!$J$6:$J$505,"OK"))</x:f>
      </x:c>
      <x:c r="E79" s="27" t="str">
        <x:f>IF(A79="","",SUMIFS(Transactions!$E$6:$E$505,Transactions!$D$6:$D$505,A79,Transactions!$C$6:$C$505,"Sale",Transactions!$J$6:$J$505,"OK"))</x:f>
      </x:c>
      <x:c r="F79" s="27" t="str">
        <x:f>IF(A79="","",SUMIFS(Transactions!$E$6:$E$505,Transactions!$D$6:$D$505,A79,Transactions!$C$6:$C$505,"Adjustment",Transactions!$J$6:$J$505,"OK"))</x:f>
      </x:c>
      <x:c r="G79" s="27" t="str">
        <x:f>IF(A79="","",IF(OR(Products!G79&lt;&gt;"OK",(COUNTIFS(Transactions!$J$6:$J$505,"Check inputs")+COUNTIFS(Transactions!$J$6:$J$505,"Check sale amounts"))&gt;0),"Fix inputs",C79+D79-E79+F79))</x:f>
      </x:c>
      <x:c r="H79" s="27" t="str">
        <x:f>IF(A79="","",Products!F79)</x:f>
      </x:c>
      <x:c r="I79" s="27" t="str">
        <x:f>IF(A79="","",IF(NOT(ISNUMBER(G79)),"Fix inputs",IF(G79&lt;0,"Negative stock",IF(G79&lt;=H79,"Reorder","In stock"))))</x:f>
      </x:c>
      <x:c r="J79" s="28" t="str">
        <x:f>IF(A79="","",IF(ISNUMBER(G79),G79*Products!E79,"Fix inputs"))</x:f>
      </x:c>
    </x:row>
    <x:row r="80" ht="27" customHeight="1">
      <x:c r="A80" s="25" t="str">
        <x:f>IF(Products!A80="","",Products!A80)</x:f>
      </x:c>
      <x:c r="B80" s="25" t="str">
        <x:f>IF(A80="","",Products!B80)</x:f>
      </x:c>
      <x:c r="C80" s="25" t="str">
        <x:f>IF(A80="","",Products!D80)</x:f>
      </x:c>
      <x:c r="D80" s="25" t="str">
        <x:f>IF(A80="","",SUMIFS(Transactions!$E$6:$E$505,Transactions!$D$6:$D$505,A80,Transactions!$C$6:$C$505,"Purchase",Transactions!$J$6:$J$505,"OK"))</x:f>
      </x:c>
      <x:c r="E80" s="25" t="str">
        <x:f>IF(A80="","",SUMIFS(Transactions!$E$6:$E$505,Transactions!$D$6:$D$505,A80,Transactions!$C$6:$C$505,"Sale",Transactions!$J$6:$J$505,"OK"))</x:f>
      </x:c>
      <x:c r="F80" s="25" t="str">
        <x:f>IF(A80="","",SUMIFS(Transactions!$E$6:$E$505,Transactions!$D$6:$D$505,A80,Transactions!$C$6:$C$505,"Adjustment",Transactions!$J$6:$J$505,"OK"))</x:f>
      </x:c>
      <x:c r="G80" s="25" t="str">
        <x:f>IF(A80="","",IF(OR(Products!G80&lt;&gt;"OK",(COUNTIFS(Transactions!$J$6:$J$505,"Check inputs")+COUNTIFS(Transactions!$J$6:$J$505,"Check sale amounts"))&gt;0),"Fix inputs",C80+D80-E80+F80))</x:f>
      </x:c>
      <x:c r="H80" s="25" t="str">
        <x:f>IF(A80="","",Products!F80)</x:f>
      </x:c>
      <x:c r="I80" s="25" t="str">
        <x:f>IF(A80="","",IF(NOT(ISNUMBER(G80)),"Fix inputs",IF(G80&lt;0,"Negative stock",IF(G80&lt;=H80,"Reorder","In stock"))))</x:f>
      </x:c>
      <x:c r="J80" s="26" t="str">
        <x:f>IF(A80="","",IF(ISNUMBER(G80),G80*Products!E80,"Fix inputs"))</x:f>
      </x:c>
    </x:row>
    <x:row r="81" ht="27" customHeight="1">
      <x:c r="A81" s="27" t="str">
        <x:f>IF(Products!A81="","",Products!A81)</x:f>
      </x:c>
      <x:c r="B81" s="27" t="str">
        <x:f>IF(A81="","",Products!B81)</x:f>
      </x:c>
      <x:c r="C81" s="27" t="str">
        <x:f>IF(A81="","",Products!D81)</x:f>
      </x:c>
      <x:c r="D81" s="27" t="str">
        <x:f>IF(A81="","",SUMIFS(Transactions!$E$6:$E$505,Transactions!$D$6:$D$505,A81,Transactions!$C$6:$C$505,"Purchase",Transactions!$J$6:$J$505,"OK"))</x:f>
      </x:c>
      <x:c r="E81" s="27" t="str">
        <x:f>IF(A81="","",SUMIFS(Transactions!$E$6:$E$505,Transactions!$D$6:$D$505,A81,Transactions!$C$6:$C$505,"Sale",Transactions!$J$6:$J$505,"OK"))</x:f>
      </x:c>
      <x:c r="F81" s="27" t="str">
        <x:f>IF(A81="","",SUMIFS(Transactions!$E$6:$E$505,Transactions!$D$6:$D$505,A81,Transactions!$C$6:$C$505,"Adjustment",Transactions!$J$6:$J$505,"OK"))</x:f>
      </x:c>
      <x:c r="G81" s="27" t="str">
        <x:f>IF(A81="","",IF(OR(Products!G81&lt;&gt;"OK",(COUNTIFS(Transactions!$J$6:$J$505,"Check inputs")+COUNTIFS(Transactions!$J$6:$J$505,"Check sale amounts"))&gt;0),"Fix inputs",C81+D81-E81+F81))</x:f>
      </x:c>
      <x:c r="H81" s="27" t="str">
        <x:f>IF(A81="","",Products!F81)</x:f>
      </x:c>
      <x:c r="I81" s="27" t="str">
        <x:f>IF(A81="","",IF(NOT(ISNUMBER(G81)),"Fix inputs",IF(G81&lt;0,"Negative stock",IF(G81&lt;=H81,"Reorder","In stock"))))</x:f>
      </x:c>
      <x:c r="J81" s="28" t="str">
        <x:f>IF(A81="","",IF(ISNUMBER(G81),G81*Products!E81,"Fix inputs"))</x:f>
      </x:c>
    </x:row>
    <x:row r="82" ht="27" customHeight="1">
      <x:c r="A82" s="25" t="str">
        <x:f>IF(Products!A82="","",Products!A82)</x:f>
      </x:c>
      <x:c r="B82" s="25" t="str">
        <x:f>IF(A82="","",Products!B82)</x:f>
      </x:c>
      <x:c r="C82" s="25" t="str">
        <x:f>IF(A82="","",Products!D82)</x:f>
      </x:c>
      <x:c r="D82" s="25" t="str">
        <x:f>IF(A82="","",SUMIFS(Transactions!$E$6:$E$505,Transactions!$D$6:$D$505,A82,Transactions!$C$6:$C$505,"Purchase",Transactions!$J$6:$J$505,"OK"))</x:f>
      </x:c>
      <x:c r="E82" s="25" t="str">
        <x:f>IF(A82="","",SUMIFS(Transactions!$E$6:$E$505,Transactions!$D$6:$D$505,A82,Transactions!$C$6:$C$505,"Sale",Transactions!$J$6:$J$505,"OK"))</x:f>
      </x:c>
      <x:c r="F82" s="25" t="str">
        <x:f>IF(A82="","",SUMIFS(Transactions!$E$6:$E$505,Transactions!$D$6:$D$505,A82,Transactions!$C$6:$C$505,"Adjustment",Transactions!$J$6:$J$505,"OK"))</x:f>
      </x:c>
      <x:c r="G82" s="25" t="str">
        <x:f>IF(A82="","",IF(OR(Products!G82&lt;&gt;"OK",(COUNTIFS(Transactions!$J$6:$J$505,"Check inputs")+COUNTIFS(Transactions!$J$6:$J$505,"Check sale amounts"))&gt;0),"Fix inputs",C82+D82-E82+F82))</x:f>
      </x:c>
      <x:c r="H82" s="25" t="str">
        <x:f>IF(A82="","",Products!F82)</x:f>
      </x:c>
      <x:c r="I82" s="25" t="str">
        <x:f>IF(A82="","",IF(NOT(ISNUMBER(G82)),"Fix inputs",IF(G82&lt;0,"Negative stock",IF(G82&lt;=H82,"Reorder","In stock"))))</x:f>
      </x:c>
      <x:c r="J82" s="26" t="str">
        <x:f>IF(A82="","",IF(ISNUMBER(G82),G82*Products!E82,"Fix inputs"))</x:f>
      </x:c>
    </x:row>
    <x:row r="83" ht="27" customHeight="1">
      <x:c r="A83" s="27" t="str">
        <x:f>IF(Products!A83="","",Products!A83)</x:f>
      </x:c>
      <x:c r="B83" s="27" t="str">
        <x:f>IF(A83="","",Products!B83)</x:f>
      </x:c>
      <x:c r="C83" s="27" t="str">
        <x:f>IF(A83="","",Products!D83)</x:f>
      </x:c>
      <x:c r="D83" s="27" t="str">
        <x:f>IF(A83="","",SUMIFS(Transactions!$E$6:$E$505,Transactions!$D$6:$D$505,A83,Transactions!$C$6:$C$505,"Purchase",Transactions!$J$6:$J$505,"OK"))</x:f>
      </x:c>
      <x:c r="E83" s="27" t="str">
        <x:f>IF(A83="","",SUMIFS(Transactions!$E$6:$E$505,Transactions!$D$6:$D$505,A83,Transactions!$C$6:$C$505,"Sale",Transactions!$J$6:$J$505,"OK"))</x:f>
      </x:c>
      <x:c r="F83" s="27" t="str">
        <x:f>IF(A83="","",SUMIFS(Transactions!$E$6:$E$505,Transactions!$D$6:$D$505,A83,Transactions!$C$6:$C$505,"Adjustment",Transactions!$J$6:$J$505,"OK"))</x:f>
      </x:c>
      <x:c r="G83" s="27" t="str">
        <x:f>IF(A83="","",IF(OR(Products!G83&lt;&gt;"OK",(COUNTIFS(Transactions!$J$6:$J$505,"Check inputs")+COUNTIFS(Transactions!$J$6:$J$505,"Check sale amounts"))&gt;0),"Fix inputs",C83+D83-E83+F83))</x:f>
      </x:c>
      <x:c r="H83" s="27" t="str">
        <x:f>IF(A83="","",Products!F83)</x:f>
      </x:c>
      <x:c r="I83" s="27" t="str">
        <x:f>IF(A83="","",IF(NOT(ISNUMBER(G83)),"Fix inputs",IF(G83&lt;0,"Negative stock",IF(G83&lt;=H83,"Reorder","In stock"))))</x:f>
      </x:c>
      <x:c r="J83" s="28" t="str">
        <x:f>IF(A83="","",IF(ISNUMBER(G83),G83*Products!E83,"Fix inputs"))</x:f>
      </x:c>
    </x:row>
    <x:row r="84" ht="27" customHeight="1">
      <x:c r="A84" s="25" t="str">
        <x:f>IF(Products!A84="","",Products!A84)</x:f>
      </x:c>
      <x:c r="B84" s="25" t="str">
        <x:f>IF(A84="","",Products!B84)</x:f>
      </x:c>
      <x:c r="C84" s="25" t="str">
        <x:f>IF(A84="","",Products!D84)</x:f>
      </x:c>
      <x:c r="D84" s="25" t="str">
        <x:f>IF(A84="","",SUMIFS(Transactions!$E$6:$E$505,Transactions!$D$6:$D$505,A84,Transactions!$C$6:$C$505,"Purchase",Transactions!$J$6:$J$505,"OK"))</x:f>
      </x:c>
      <x:c r="E84" s="25" t="str">
        <x:f>IF(A84="","",SUMIFS(Transactions!$E$6:$E$505,Transactions!$D$6:$D$505,A84,Transactions!$C$6:$C$505,"Sale",Transactions!$J$6:$J$505,"OK"))</x:f>
      </x:c>
      <x:c r="F84" s="25" t="str">
        <x:f>IF(A84="","",SUMIFS(Transactions!$E$6:$E$505,Transactions!$D$6:$D$505,A84,Transactions!$C$6:$C$505,"Adjustment",Transactions!$J$6:$J$505,"OK"))</x:f>
      </x:c>
      <x:c r="G84" s="25" t="str">
        <x:f>IF(A84="","",IF(OR(Products!G84&lt;&gt;"OK",(COUNTIFS(Transactions!$J$6:$J$505,"Check inputs")+COUNTIFS(Transactions!$J$6:$J$505,"Check sale amounts"))&gt;0),"Fix inputs",C84+D84-E84+F84))</x:f>
      </x:c>
      <x:c r="H84" s="25" t="str">
        <x:f>IF(A84="","",Products!F84)</x:f>
      </x:c>
      <x:c r="I84" s="25" t="str">
        <x:f>IF(A84="","",IF(NOT(ISNUMBER(G84)),"Fix inputs",IF(G84&lt;0,"Negative stock",IF(G84&lt;=H84,"Reorder","In stock"))))</x:f>
      </x:c>
      <x:c r="J84" s="26" t="str">
        <x:f>IF(A84="","",IF(ISNUMBER(G84),G84*Products!E84,"Fix inputs"))</x:f>
      </x:c>
    </x:row>
    <x:row r="85" ht="27" customHeight="1">
      <x:c r="A85" s="27" t="str">
        <x:f>IF(Products!A85="","",Products!A85)</x:f>
      </x:c>
      <x:c r="B85" s="27" t="str">
        <x:f>IF(A85="","",Products!B85)</x:f>
      </x:c>
      <x:c r="C85" s="27" t="str">
        <x:f>IF(A85="","",Products!D85)</x:f>
      </x:c>
      <x:c r="D85" s="27" t="str">
        <x:f>IF(A85="","",SUMIFS(Transactions!$E$6:$E$505,Transactions!$D$6:$D$505,A85,Transactions!$C$6:$C$505,"Purchase",Transactions!$J$6:$J$505,"OK"))</x:f>
      </x:c>
      <x:c r="E85" s="27" t="str">
        <x:f>IF(A85="","",SUMIFS(Transactions!$E$6:$E$505,Transactions!$D$6:$D$505,A85,Transactions!$C$6:$C$505,"Sale",Transactions!$J$6:$J$505,"OK"))</x:f>
      </x:c>
      <x:c r="F85" s="27" t="str">
        <x:f>IF(A85="","",SUMIFS(Transactions!$E$6:$E$505,Transactions!$D$6:$D$505,A85,Transactions!$C$6:$C$505,"Adjustment",Transactions!$J$6:$J$505,"OK"))</x:f>
      </x:c>
      <x:c r="G85" s="27" t="str">
        <x:f>IF(A85="","",IF(OR(Products!G85&lt;&gt;"OK",(COUNTIFS(Transactions!$J$6:$J$505,"Check inputs")+COUNTIFS(Transactions!$J$6:$J$505,"Check sale amounts"))&gt;0),"Fix inputs",C85+D85-E85+F85))</x:f>
      </x:c>
      <x:c r="H85" s="27" t="str">
        <x:f>IF(A85="","",Products!F85)</x:f>
      </x:c>
      <x:c r="I85" s="27" t="str">
        <x:f>IF(A85="","",IF(NOT(ISNUMBER(G85)),"Fix inputs",IF(G85&lt;0,"Negative stock",IF(G85&lt;=H85,"Reorder","In stock"))))</x:f>
      </x:c>
      <x:c r="J85" s="28" t="str">
        <x:f>IF(A85="","",IF(ISNUMBER(G85),G85*Products!E85,"Fix inputs"))</x:f>
      </x:c>
    </x:row>
    <x:row r="86" ht="27" customHeight="1">
      <x:c r="A86" s="25" t="str">
        <x:f>IF(Products!A86="","",Products!A86)</x:f>
      </x:c>
      <x:c r="B86" s="25" t="str">
        <x:f>IF(A86="","",Products!B86)</x:f>
      </x:c>
      <x:c r="C86" s="25" t="str">
        <x:f>IF(A86="","",Products!D86)</x:f>
      </x:c>
      <x:c r="D86" s="25" t="str">
        <x:f>IF(A86="","",SUMIFS(Transactions!$E$6:$E$505,Transactions!$D$6:$D$505,A86,Transactions!$C$6:$C$505,"Purchase",Transactions!$J$6:$J$505,"OK"))</x:f>
      </x:c>
      <x:c r="E86" s="25" t="str">
        <x:f>IF(A86="","",SUMIFS(Transactions!$E$6:$E$505,Transactions!$D$6:$D$505,A86,Transactions!$C$6:$C$505,"Sale",Transactions!$J$6:$J$505,"OK"))</x:f>
      </x:c>
      <x:c r="F86" s="25" t="str">
        <x:f>IF(A86="","",SUMIFS(Transactions!$E$6:$E$505,Transactions!$D$6:$D$505,A86,Transactions!$C$6:$C$505,"Adjustment",Transactions!$J$6:$J$505,"OK"))</x:f>
      </x:c>
      <x:c r="G86" s="25" t="str">
        <x:f>IF(A86="","",IF(OR(Products!G86&lt;&gt;"OK",(COUNTIFS(Transactions!$J$6:$J$505,"Check inputs")+COUNTIFS(Transactions!$J$6:$J$505,"Check sale amounts"))&gt;0),"Fix inputs",C86+D86-E86+F86))</x:f>
      </x:c>
      <x:c r="H86" s="25" t="str">
        <x:f>IF(A86="","",Products!F86)</x:f>
      </x:c>
      <x:c r="I86" s="25" t="str">
        <x:f>IF(A86="","",IF(NOT(ISNUMBER(G86)),"Fix inputs",IF(G86&lt;0,"Negative stock",IF(G86&lt;=H86,"Reorder","In stock"))))</x:f>
      </x:c>
      <x:c r="J86" s="26" t="str">
        <x:f>IF(A86="","",IF(ISNUMBER(G86),G86*Products!E86,"Fix inputs"))</x:f>
      </x:c>
    </x:row>
    <x:row r="87" ht="27" customHeight="1">
      <x:c r="A87" s="27" t="str">
        <x:f>IF(Products!A87="","",Products!A87)</x:f>
      </x:c>
      <x:c r="B87" s="27" t="str">
        <x:f>IF(A87="","",Products!B87)</x:f>
      </x:c>
      <x:c r="C87" s="27" t="str">
        <x:f>IF(A87="","",Products!D87)</x:f>
      </x:c>
      <x:c r="D87" s="27" t="str">
        <x:f>IF(A87="","",SUMIFS(Transactions!$E$6:$E$505,Transactions!$D$6:$D$505,A87,Transactions!$C$6:$C$505,"Purchase",Transactions!$J$6:$J$505,"OK"))</x:f>
      </x:c>
      <x:c r="E87" s="27" t="str">
        <x:f>IF(A87="","",SUMIFS(Transactions!$E$6:$E$505,Transactions!$D$6:$D$505,A87,Transactions!$C$6:$C$505,"Sale",Transactions!$J$6:$J$505,"OK"))</x:f>
      </x:c>
      <x:c r="F87" s="27" t="str">
        <x:f>IF(A87="","",SUMIFS(Transactions!$E$6:$E$505,Transactions!$D$6:$D$505,A87,Transactions!$C$6:$C$505,"Adjustment",Transactions!$J$6:$J$505,"OK"))</x:f>
      </x:c>
      <x:c r="G87" s="27" t="str">
        <x:f>IF(A87="","",IF(OR(Products!G87&lt;&gt;"OK",(COUNTIFS(Transactions!$J$6:$J$505,"Check inputs")+COUNTIFS(Transactions!$J$6:$J$505,"Check sale amounts"))&gt;0),"Fix inputs",C87+D87-E87+F87))</x:f>
      </x:c>
      <x:c r="H87" s="27" t="str">
        <x:f>IF(A87="","",Products!F87)</x:f>
      </x:c>
      <x:c r="I87" s="27" t="str">
        <x:f>IF(A87="","",IF(NOT(ISNUMBER(G87)),"Fix inputs",IF(G87&lt;0,"Negative stock",IF(G87&lt;=H87,"Reorder","In stock"))))</x:f>
      </x:c>
      <x:c r="J87" s="28" t="str">
        <x:f>IF(A87="","",IF(ISNUMBER(G87),G87*Products!E87,"Fix inputs"))</x:f>
      </x:c>
    </x:row>
    <x:row r="88" ht="27" customHeight="1">
      <x:c r="A88" s="25" t="str">
        <x:f>IF(Products!A88="","",Products!A88)</x:f>
      </x:c>
      <x:c r="B88" s="25" t="str">
        <x:f>IF(A88="","",Products!B88)</x:f>
      </x:c>
      <x:c r="C88" s="25" t="str">
        <x:f>IF(A88="","",Products!D88)</x:f>
      </x:c>
      <x:c r="D88" s="25" t="str">
        <x:f>IF(A88="","",SUMIFS(Transactions!$E$6:$E$505,Transactions!$D$6:$D$505,A88,Transactions!$C$6:$C$505,"Purchase",Transactions!$J$6:$J$505,"OK"))</x:f>
      </x:c>
      <x:c r="E88" s="25" t="str">
        <x:f>IF(A88="","",SUMIFS(Transactions!$E$6:$E$505,Transactions!$D$6:$D$505,A88,Transactions!$C$6:$C$505,"Sale",Transactions!$J$6:$J$505,"OK"))</x:f>
      </x:c>
      <x:c r="F88" s="25" t="str">
        <x:f>IF(A88="","",SUMIFS(Transactions!$E$6:$E$505,Transactions!$D$6:$D$505,A88,Transactions!$C$6:$C$505,"Adjustment",Transactions!$J$6:$J$505,"OK"))</x:f>
      </x:c>
      <x:c r="G88" s="25" t="str">
        <x:f>IF(A88="","",IF(OR(Products!G88&lt;&gt;"OK",(COUNTIFS(Transactions!$J$6:$J$505,"Check inputs")+COUNTIFS(Transactions!$J$6:$J$505,"Check sale amounts"))&gt;0),"Fix inputs",C88+D88-E88+F88))</x:f>
      </x:c>
      <x:c r="H88" s="25" t="str">
        <x:f>IF(A88="","",Products!F88)</x:f>
      </x:c>
      <x:c r="I88" s="25" t="str">
        <x:f>IF(A88="","",IF(NOT(ISNUMBER(G88)),"Fix inputs",IF(G88&lt;0,"Negative stock",IF(G88&lt;=H88,"Reorder","In stock"))))</x:f>
      </x:c>
      <x:c r="J88" s="26" t="str">
        <x:f>IF(A88="","",IF(ISNUMBER(G88),G88*Products!E88,"Fix inputs"))</x:f>
      </x:c>
    </x:row>
    <x:row r="89" ht="27" customHeight="1">
      <x:c r="A89" s="27" t="str">
        <x:f>IF(Products!A89="","",Products!A89)</x:f>
      </x:c>
      <x:c r="B89" s="27" t="str">
        <x:f>IF(A89="","",Products!B89)</x:f>
      </x:c>
      <x:c r="C89" s="27" t="str">
        <x:f>IF(A89="","",Products!D89)</x:f>
      </x:c>
      <x:c r="D89" s="27" t="str">
        <x:f>IF(A89="","",SUMIFS(Transactions!$E$6:$E$505,Transactions!$D$6:$D$505,A89,Transactions!$C$6:$C$505,"Purchase",Transactions!$J$6:$J$505,"OK"))</x:f>
      </x:c>
      <x:c r="E89" s="27" t="str">
        <x:f>IF(A89="","",SUMIFS(Transactions!$E$6:$E$505,Transactions!$D$6:$D$505,A89,Transactions!$C$6:$C$505,"Sale",Transactions!$J$6:$J$505,"OK"))</x:f>
      </x:c>
      <x:c r="F89" s="27" t="str">
        <x:f>IF(A89="","",SUMIFS(Transactions!$E$6:$E$505,Transactions!$D$6:$D$505,A89,Transactions!$C$6:$C$505,"Adjustment",Transactions!$J$6:$J$505,"OK"))</x:f>
      </x:c>
      <x:c r="G89" s="27" t="str">
        <x:f>IF(A89="","",IF(OR(Products!G89&lt;&gt;"OK",(COUNTIFS(Transactions!$J$6:$J$505,"Check inputs")+COUNTIFS(Transactions!$J$6:$J$505,"Check sale amounts"))&gt;0),"Fix inputs",C89+D89-E89+F89))</x:f>
      </x:c>
      <x:c r="H89" s="27" t="str">
        <x:f>IF(A89="","",Products!F89)</x:f>
      </x:c>
      <x:c r="I89" s="27" t="str">
        <x:f>IF(A89="","",IF(NOT(ISNUMBER(G89)),"Fix inputs",IF(G89&lt;0,"Negative stock",IF(G89&lt;=H89,"Reorder","In stock"))))</x:f>
      </x:c>
      <x:c r="J89" s="28" t="str">
        <x:f>IF(A89="","",IF(ISNUMBER(G89),G89*Products!E89,"Fix inputs"))</x:f>
      </x:c>
    </x:row>
    <x:row r="90" ht="27" customHeight="1">
      <x:c r="A90" s="25" t="str">
        <x:f>IF(Products!A90="","",Products!A90)</x:f>
      </x:c>
      <x:c r="B90" s="25" t="str">
        <x:f>IF(A90="","",Products!B90)</x:f>
      </x:c>
      <x:c r="C90" s="25" t="str">
        <x:f>IF(A90="","",Products!D90)</x:f>
      </x:c>
      <x:c r="D90" s="25" t="str">
        <x:f>IF(A90="","",SUMIFS(Transactions!$E$6:$E$505,Transactions!$D$6:$D$505,A90,Transactions!$C$6:$C$505,"Purchase",Transactions!$J$6:$J$505,"OK"))</x:f>
      </x:c>
      <x:c r="E90" s="25" t="str">
        <x:f>IF(A90="","",SUMIFS(Transactions!$E$6:$E$505,Transactions!$D$6:$D$505,A90,Transactions!$C$6:$C$505,"Sale",Transactions!$J$6:$J$505,"OK"))</x:f>
      </x:c>
      <x:c r="F90" s="25" t="str">
        <x:f>IF(A90="","",SUMIFS(Transactions!$E$6:$E$505,Transactions!$D$6:$D$505,A90,Transactions!$C$6:$C$505,"Adjustment",Transactions!$J$6:$J$505,"OK"))</x:f>
      </x:c>
      <x:c r="G90" s="25" t="str">
        <x:f>IF(A90="","",IF(OR(Products!G90&lt;&gt;"OK",(COUNTIFS(Transactions!$J$6:$J$505,"Check inputs")+COUNTIFS(Transactions!$J$6:$J$505,"Check sale amounts"))&gt;0),"Fix inputs",C90+D90-E90+F90))</x:f>
      </x:c>
      <x:c r="H90" s="25" t="str">
        <x:f>IF(A90="","",Products!F90)</x:f>
      </x:c>
      <x:c r="I90" s="25" t="str">
        <x:f>IF(A90="","",IF(NOT(ISNUMBER(G90)),"Fix inputs",IF(G90&lt;0,"Negative stock",IF(G90&lt;=H90,"Reorder","In stock"))))</x:f>
      </x:c>
      <x:c r="J90" s="26" t="str">
        <x:f>IF(A90="","",IF(ISNUMBER(G90),G90*Products!E90,"Fix inputs"))</x:f>
      </x:c>
    </x:row>
    <x:row r="91" ht="27" customHeight="1">
      <x:c r="A91" s="27" t="str">
        <x:f>IF(Products!A91="","",Products!A91)</x:f>
      </x:c>
      <x:c r="B91" s="27" t="str">
        <x:f>IF(A91="","",Products!B91)</x:f>
      </x:c>
      <x:c r="C91" s="27" t="str">
        <x:f>IF(A91="","",Products!D91)</x:f>
      </x:c>
      <x:c r="D91" s="27" t="str">
        <x:f>IF(A91="","",SUMIFS(Transactions!$E$6:$E$505,Transactions!$D$6:$D$505,A91,Transactions!$C$6:$C$505,"Purchase",Transactions!$J$6:$J$505,"OK"))</x:f>
      </x:c>
      <x:c r="E91" s="27" t="str">
        <x:f>IF(A91="","",SUMIFS(Transactions!$E$6:$E$505,Transactions!$D$6:$D$505,A91,Transactions!$C$6:$C$505,"Sale",Transactions!$J$6:$J$505,"OK"))</x:f>
      </x:c>
      <x:c r="F91" s="27" t="str">
        <x:f>IF(A91="","",SUMIFS(Transactions!$E$6:$E$505,Transactions!$D$6:$D$505,A91,Transactions!$C$6:$C$505,"Adjustment",Transactions!$J$6:$J$505,"OK"))</x:f>
      </x:c>
      <x:c r="G91" s="27" t="str">
        <x:f>IF(A91="","",IF(OR(Products!G91&lt;&gt;"OK",(COUNTIFS(Transactions!$J$6:$J$505,"Check inputs")+COUNTIFS(Transactions!$J$6:$J$505,"Check sale amounts"))&gt;0),"Fix inputs",C91+D91-E91+F91))</x:f>
      </x:c>
      <x:c r="H91" s="27" t="str">
        <x:f>IF(A91="","",Products!F91)</x:f>
      </x:c>
      <x:c r="I91" s="27" t="str">
        <x:f>IF(A91="","",IF(NOT(ISNUMBER(G91)),"Fix inputs",IF(G91&lt;0,"Negative stock",IF(G91&lt;=H91,"Reorder","In stock"))))</x:f>
      </x:c>
      <x:c r="J91" s="28" t="str">
        <x:f>IF(A91="","",IF(ISNUMBER(G91),G91*Products!E91,"Fix inputs"))</x:f>
      </x:c>
    </x:row>
    <x:row r="92" ht="27" customHeight="1">
      <x:c r="A92" s="25" t="str">
        <x:f>IF(Products!A92="","",Products!A92)</x:f>
      </x:c>
      <x:c r="B92" s="25" t="str">
        <x:f>IF(A92="","",Products!B92)</x:f>
      </x:c>
      <x:c r="C92" s="25" t="str">
        <x:f>IF(A92="","",Products!D92)</x:f>
      </x:c>
      <x:c r="D92" s="25" t="str">
        <x:f>IF(A92="","",SUMIFS(Transactions!$E$6:$E$505,Transactions!$D$6:$D$505,A92,Transactions!$C$6:$C$505,"Purchase",Transactions!$J$6:$J$505,"OK"))</x:f>
      </x:c>
      <x:c r="E92" s="25" t="str">
        <x:f>IF(A92="","",SUMIFS(Transactions!$E$6:$E$505,Transactions!$D$6:$D$505,A92,Transactions!$C$6:$C$505,"Sale",Transactions!$J$6:$J$505,"OK"))</x:f>
      </x:c>
      <x:c r="F92" s="25" t="str">
        <x:f>IF(A92="","",SUMIFS(Transactions!$E$6:$E$505,Transactions!$D$6:$D$505,A92,Transactions!$C$6:$C$505,"Adjustment",Transactions!$J$6:$J$505,"OK"))</x:f>
      </x:c>
      <x:c r="G92" s="25" t="str">
        <x:f>IF(A92="","",IF(OR(Products!G92&lt;&gt;"OK",(COUNTIFS(Transactions!$J$6:$J$505,"Check inputs")+COUNTIFS(Transactions!$J$6:$J$505,"Check sale amounts"))&gt;0),"Fix inputs",C92+D92-E92+F92))</x:f>
      </x:c>
      <x:c r="H92" s="25" t="str">
        <x:f>IF(A92="","",Products!F92)</x:f>
      </x:c>
      <x:c r="I92" s="25" t="str">
        <x:f>IF(A92="","",IF(NOT(ISNUMBER(G92)),"Fix inputs",IF(G92&lt;0,"Negative stock",IF(G92&lt;=H92,"Reorder","In stock"))))</x:f>
      </x:c>
      <x:c r="J92" s="26" t="str">
        <x:f>IF(A92="","",IF(ISNUMBER(G92),G92*Products!E92,"Fix inputs"))</x:f>
      </x:c>
    </x:row>
    <x:row r="93" ht="27" customHeight="1">
      <x:c r="A93" s="27" t="str">
        <x:f>IF(Products!A93="","",Products!A93)</x:f>
      </x:c>
      <x:c r="B93" s="27" t="str">
        <x:f>IF(A93="","",Products!B93)</x:f>
      </x:c>
      <x:c r="C93" s="27" t="str">
        <x:f>IF(A93="","",Products!D93)</x:f>
      </x:c>
      <x:c r="D93" s="27" t="str">
        <x:f>IF(A93="","",SUMIFS(Transactions!$E$6:$E$505,Transactions!$D$6:$D$505,A93,Transactions!$C$6:$C$505,"Purchase",Transactions!$J$6:$J$505,"OK"))</x:f>
      </x:c>
      <x:c r="E93" s="27" t="str">
        <x:f>IF(A93="","",SUMIFS(Transactions!$E$6:$E$505,Transactions!$D$6:$D$505,A93,Transactions!$C$6:$C$505,"Sale",Transactions!$J$6:$J$505,"OK"))</x:f>
      </x:c>
      <x:c r="F93" s="27" t="str">
        <x:f>IF(A93="","",SUMIFS(Transactions!$E$6:$E$505,Transactions!$D$6:$D$505,A93,Transactions!$C$6:$C$505,"Adjustment",Transactions!$J$6:$J$505,"OK"))</x:f>
      </x:c>
      <x:c r="G93" s="27" t="str">
        <x:f>IF(A93="","",IF(OR(Products!G93&lt;&gt;"OK",(COUNTIFS(Transactions!$J$6:$J$505,"Check inputs")+COUNTIFS(Transactions!$J$6:$J$505,"Check sale amounts"))&gt;0),"Fix inputs",C93+D93-E93+F93))</x:f>
      </x:c>
      <x:c r="H93" s="27" t="str">
        <x:f>IF(A93="","",Products!F93)</x:f>
      </x:c>
      <x:c r="I93" s="27" t="str">
        <x:f>IF(A93="","",IF(NOT(ISNUMBER(G93)),"Fix inputs",IF(G93&lt;0,"Negative stock",IF(G93&lt;=H93,"Reorder","In stock"))))</x:f>
      </x:c>
      <x:c r="J93" s="28" t="str">
        <x:f>IF(A93="","",IF(ISNUMBER(G93),G93*Products!E93,"Fix inputs"))</x:f>
      </x:c>
    </x:row>
    <x:row r="94" ht="27" customHeight="1">
      <x:c r="A94" s="25" t="str">
        <x:f>IF(Products!A94="","",Products!A94)</x:f>
      </x:c>
      <x:c r="B94" s="25" t="str">
        <x:f>IF(A94="","",Products!B94)</x:f>
      </x:c>
      <x:c r="C94" s="25" t="str">
        <x:f>IF(A94="","",Products!D94)</x:f>
      </x:c>
      <x:c r="D94" s="25" t="str">
        <x:f>IF(A94="","",SUMIFS(Transactions!$E$6:$E$505,Transactions!$D$6:$D$505,A94,Transactions!$C$6:$C$505,"Purchase",Transactions!$J$6:$J$505,"OK"))</x:f>
      </x:c>
      <x:c r="E94" s="25" t="str">
        <x:f>IF(A94="","",SUMIFS(Transactions!$E$6:$E$505,Transactions!$D$6:$D$505,A94,Transactions!$C$6:$C$505,"Sale",Transactions!$J$6:$J$505,"OK"))</x:f>
      </x:c>
      <x:c r="F94" s="25" t="str">
        <x:f>IF(A94="","",SUMIFS(Transactions!$E$6:$E$505,Transactions!$D$6:$D$505,A94,Transactions!$C$6:$C$505,"Adjustment",Transactions!$J$6:$J$505,"OK"))</x:f>
      </x:c>
      <x:c r="G94" s="25" t="str">
        <x:f>IF(A94="","",IF(OR(Products!G94&lt;&gt;"OK",(COUNTIFS(Transactions!$J$6:$J$505,"Check inputs")+COUNTIFS(Transactions!$J$6:$J$505,"Check sale amounts"))&gt;0),"Fix inputs",C94+D94-E94+F94))</x:f>
      </x:c>
      <x:c r="H94" s="25" t="str">
        <x:f>IF(A94="","",Products!F94)</x:f>
      </x:c>
      <x:c r="I94" s="25" t="str">
        <x:f>IF(A94="","",IF(NOT(ISNUMBER(G94)),"Fix inputs",IF(G94&lt;0,"Negative stock",IF(G94&lt;=H94,"Reorder","In stock"))))</x:f>
      </x:c>
      <x:c r="J94" s="26" t="str">
        <x:f>IF(A94="","",IF(ISNUMBER(G94),G94*Products!E94,"Fix inputs"))</x:f>
      </x:c>
    </x:row>
    <x:row r="95" ht="27" customHeight="1">
      <x:c r="A95" s="27" t="str">
        <x:f>IF(Products!A95="","",Products!A95)</x:f>
      </x:c>
      <x:c r="B95" s="27" t="str">
        <x:f>IF(A95="","",Products!B95)</x:f>
      </x:c>
      <x:c r="C95" s="27" t="str">
        <x:f>IF(A95="","",Products!D95)</x:f>
      </x:c>
      <x:c r="D95" s="27" t="str">
        <x:f>IF(A95="","",SUMIFS(Transactions!$E$6:$E$505,Transactions!$D$6:$D$505,A95,Transactions!$C$6:$C$505,"Purchase",Transactions!$J$6:$J$505,"OK"))</x:f>
      </x:c>
      <x:c r="E95" s="27" t="str">
        <x:f>IF(A95="","",SUMIFS(Transactions!$E$6:$E$505,Transactions!$D$6:$D$505,A95,Transactions!$C$6:$C$505,"Sale",Transactions!$J$6:$J$505,"OK"))</x:f>
      </x:c>
      <x:c r="F95" s="27" t="str">
        <x:f>IF(A95="","",SUMIFS(Transactions!$E$6:$E$505,Transactions!$D$6:$D$505,A95,Transactions!$C$6:$C$505,"Adjustment",Transactions!$J$6:$J$505,"OK"))</x:f>
      </x:c>
      <x:c r="G95" s="27" t="str">
        <x:f>IF(A95="","",IF(OR(Products!G95&lt;&gt;"OK",(COUNTIFS(Transactions!$J$6:$J$505,"Check inputs")+COUNTIFS(Transactions!$J$6:$J$505,"Check sale amounts"))&gt;0),"Fix inputs",C95+D95-E95+F95))</x:f>
      </x:c>
      <x:c r="H95" s="27" t="str">
        <x:f>IF(A95="","",Products!F95)</x:f>
      </x:c>
      <x:c r="I95" s="27" t="str">
        <x:f>IF(A95="","",IF(NOT(ISNUMBER(G95)),"Fix inputs",IF(G95&lt;0,"Negative stock",IF(G95&lt;=H95,"Reorder","In stock"))))</x:f>
      </x:c>
      <x:c r="J95" s="28" t="str">
        <x:f>IF(A95="","",IF(ISNUMBER(G95),G95*Products!E95,"Fix inputs"))</x:f>
      </x:c>
    </x:row>
    <x:row r="96" ht="27" customHeight="1">
      <x:c r="A96" s="25" t="str">
        <x:f>IF(Products!A96="","",Products!A96)</x:f>
      </x:c>
      <x:c r="B96" s="25" t="str">
        <x:f>IF(A96="","",Products!B96)</x:f>
      </x:c>
      <x:c r="C96" s="25" t="str">
        <x:f>IF(A96="","",Products!D96)</x:f>
      </x:c>
      <x:c r="D96" s="25" t="str">
        <x:f>IF(A96="","",SUMIFS(Transactions!$E$6:$E$505,Transactions!$D$6:$D$505,A96,Transactions!$C$6:$C$505,"Purchase",Transactions!$J$6:$J$505,"OK"))</x:f>
      </x:c>
      <x:c r="E96" s="25" t="str">
        <x:f>IF(A96="","",SUMIFS(Transactions!$E$6:$E$505,Transactions!$D$6:$D$505,A96,Transactions!$C$6:$C$505,"Sale",Transactions!$J$6:$J$505,"OK"))</x:f>
      </x:c>
      <x:c r="F96" s="25" t="str">
        <x:f>IF(A96="","",SUMIFS(Transactions!$E$6:$E$505,Transactions!$D$6:$D$505,A96,Transactions!$C$6:$C$505,"Adjustment",Transactions!$J$6:$J$505,"OK"))</x:f>
      </x:c>
      <x:c r="G96" s="25" t="str">
        <x:f>IF(A96="","",IF(OR(Products!G96&lt;&gt;"OK",(COUNTIFS(Transactions!$J$6:$J$505,"Check inputs")+COUNTIFS(Transactions!$J$6:$J$505,"Check sale amounts"))&gt;0),"Fix inputs",C96+D96-E96+F96))</x:f>
      </x:c>
      <x:c r="H96" s="25" t="str">
        <x:f>IF(A96="","",Products!F96)</x:f>
      </x:c>
      <x:c r="I96" s="25" t="str">
        <x:f>IF(A96="","",IF(NOT(ISNUMBER(G96)),"Fix inputs",IF(G96&lt;0,"Negative stock",IF(G96&lt;=H96,"Reorder","In stock"))))</x:f>
      </x:c>
      <x:c r="J96" s="26" t="str">
        <x:f>IF(A96="","",IF(ISNUMBER(G96),G96*Products!E96,"Fix inputs"))</x:f>
      </x:c>
    </x:row>
    <x:row r="97" ht="27" customHeight="1">
      <x:c r="A97" s="27" t="str">
        <x:f>IF(Products!A97="","",Products!A97)</x:f>
      </x:c>
      <x:c r="B97" s="27" t="str">
        <x:f>IF(A97="","",Products!B97)</x:f>
      </x:c>
      <x:c r="C97" s="27" t="str">
        <x:f>IF(A97="","",Products!D97)</x:f>
      </x:c>
      <x:c r="D97" s="27" t="str">
        <x:f>IF(A97="","",SUMIFS(Transactions!$E$6:$E$505,Transactions!$D$6:$D$505,A97,Transactions!$C$6:$C$505,"Purchase",Transactions!$J$6:$J$505,"OK"))</x:f>
      </x:c>
      <x:c r="E97" s="27" t="str">
        <x:f>IF(A97="","",SUMIFS(Transactions!$E$6:$E$505,Transactions!$D$6:$D$505,A97,Transactions!$C$6:$C$505,"Sale",Transactions!$J$6:$J$505,"OK"))</x:f>
      </x:c>
      <x:c r="F97" s="27" t="str">
        <x:f>IF(A97="","",SUMIFS(Transactions!$E$6:$E$505,Transactions!$D$6:$D$505,A97,Transactions!$C$6:$C$505,"Adjustment",Transactions!$J$6:$J$505,"OK"))</x:f>
      </x:c>
      <x:c r="G97" s="27" t="str">
        <x:f>IF(A97="","",IF(OR(Products!G97&lt;&gt;"OK",(COUNTIFS(Transactions!$J$6:$J$505,"Check inputs")+COUNTIFS(Transactions!$J$6:$J$505,"Check sale amounts"))&gt;0),"Fix inputs",C97+D97-E97+F97))</x:f>
      </x:c>
      <x:c r="H97" s="27" t="str">
        <x:f>IF(A97="","",Products!F97)</x:f>
      </x:c>
      <x:c r="I97" s="27" t="str">
        <x:f>IF(A97="","",IF(NOT(ISNUMBER(G97)),"Fix inputs",IF(G97&lt;0,"Negative stock",IF(G97&lt;=H97,"Reorder","In stock"))))</x:f>
      </x:c>
      <x:c r="J97" s="28" t="str">
        <x:f>IF(A97="","",IF(ISNUMBER(G97),G97*Products!E97,"Fix inputs"))</x:f>
      </x:c>
    </x:row>
    <x:row r="98" ht="27" customHeight="1">
      <x:c r="A98" s="25" t="str">
        <x:f>IF(Products!A98="","",Products!A98)</x:f>
      </x:c>
      <x:c r="B98" s="25" t="str">
        <x:f>IF(A98="","",Products!B98)</x:f>
      </x:c>
      <x:c r="C98" s="25" t="str">
        <x:f>IF(A98="","",Products!D98)</x:f>
      </x:c>
      <x:c r="D98" s="25" t="str">
        <x:f>IF(A98="","",SUMIFS(Transactions!$E$6:$E$505,Transactions!$D$6:$D$505,A98,Transactions!$C$6:$C$505,"Purchase",Transactions!$J$6:$J$505,"OK"))</x:f>
      </x:c>
      <x:c r="E98" s="25" t="str">
        <x:f>IF(A98="","",SUMIFS(Transactions!$E$6:$E$505,Transactions!$D$6:$D$505,A98,Transactions!$C$6:$C$505,"Sale",Transactions!$J$6:$J$505,"OK"))</x:f>
      </x:c>
      <x:c r="F98" s="25" t="str">
        <x:f>IF(A98="","",SUMIFS(Transactions!$E$6:$E$505,Transactions!$D$6:$D$505,A98,Transactions!$C$6:$C$505,"Adjustment",Transactions!$J$6:$J$505,"OK"))</x:f>
      </x:c>
      <x:c r="G98" s="25" t="str">
        <x:f>IF(A98="","",IF(OR(Products!G98&lt;&gt;"OK",(COUNTIFS(Transactions!$J$6:$J$505,"Check inputs")+COUNTIFS(Transactions!$J$6:$J$505,"Check sale amounts"))&gt;0),"Fix inputs",C98+D98-E98+F98))</x:f>
      </x:c>
      <x:c r="H98" s="25" t="str">
        <x:f>IF(A98="","",Products!F98)</x:f>
      </x:c>
      <x:c r="I98" s="25" t="str">
        <x:f>IF(A98="","",IF(NOT(ISNUMBER(G98)),"Fix inputs",IF(G98&lt;0,"Negative stock",IF(G98&lt;=H98,"Reorder","In stock"))))</x:f>
      </x:c>
      <x:c r="J98" s="26" t="str">
        <x:f>IF(A98="","",IF(ISNUMBER(G98),G98*Products!E98,"Fix inputs"))</x:f>
      </x:c>
    </x:row>
    <x:row r="99" ht="27" customHeight="1">
      <x:c r="A99" s="27" t="str">
        <x:f>IF(Products!A99="","",Products!A99)</x:f>
      </x:c>
      <x:c r="B99" s="27" t="str">
        <x:f>IF(A99="","",Products!B99)</x:f>
      </x:c>
      <x:c r="C99" s="27" t="str">
        <x:f>IF(A99="","",Products!D99)</x:f>
      </x:c>
      <x:c r="D99" s="27" t="str">
        <x:f>IF(A99="","",SUMIFS(Transactions!$E$6:$E$505,Transactions!$D$6:$D$505,A99,Transactions!$C$6:$C$505,"Purchase",Transactions!$J$6:$J$505,"OK"))</x:f>
      </x:c>
      <x:c r="E99" s="27" t="str">
        <x:f>IF(A99="","",SUMIFS(Transactions!$E$6:$E$505,Transactions!$D$6:$D$505,A99,Transactions!$C$6:$C$505,"Sale",Transactions!$J$6:$J$505,"OK"))</x:f>
      </x:c>
      <x:c r="F99" s="27" t="str">
        <x:f>IF(A99="","",SUMIFS(Transactions!$E$6:$E$505,Transactions!$D$6:$D$505,A99,Transactions!$C$6:$C$505,"Adjustment",Transactions!$J$6:$J$505,"OK"))</x:f>
      </x:c>
      <x:c r="G99" s="27" t="str">
        <x:f>IF(A99="","",IF(OR(Products!G99&lt;&gt;"OK",(COUNTIFS(Transactions!$J$6:$J$505,"Check inputs")+COUNTIFS(Transactions!$J$6:$J$505,"Check sale amounts"))&gt;0),"Fix inputs",C99+D99-E99+F99))</x:f>
      </x:c>
      <x:c r="H99" s="27" t="str">
        <x:f>IF(A99="","",Products!F99)</x:f>
      </x:c>
      <x:c r="I99" s="27" t="str">
        <x:f>IF(A99="","",IF(NOT(ISNUMBER(G99)),"Fix inputs",IF(G99&lt;0,"Negative stock",IF(G99&lt;=H99,"Reorder","In stock"))))</x:f>
      </x:c>
      <x:c r="J99" s="28" t="str">
        <x:f>IF(A99="","",IF(ISNUMBER(G99),G99*Products!E99,"Fix inputs"))</x:f>
      </x:c>
    </x:row>
    <x:row r="100" ht="27" customHeight="1">
      <x:c r="A100" s="25" t="str">
        <x:f>IF(Products!A100="","",Products!A100)</x:f>
      </x:c>
      <x:c r="B100" s="25" t="str">
        <x:f>IF(A100="","",Products!B100)</x:f>
      </x:c>
      <x:c r="C100" s="25" t="str">
        <x:f>IF(A100="","",Products!D100)</x:f>
      </x:c>
      <x:c r="D100" s="25" t="str">
        <x:f>IF(A100="","",SUMIFS(Transactions!$E$6:$E$505,Transactions!$D$6:$D$505,A100,Transactions!$C$6:$C$505,"Purchase",Transactions!$J$6:$J$505,"OK"))</x:f>
      </x:c>
      <x:c r="E100" s="25" t="str">
        <x:f>IF(A100="","",SUMIFS(Transactions!$E$6:$E$505,Transactions!$D$6:$D$505,A100,Transactions!$C$6:$C$505,"Sale",Transactions!$J$6:$J$505,"OK"))</x:f>
      </x:c>
      <x:c r="F100" s="25" t="str">
        <x:f>IF(A100="","",SUMIFS(Transactions!$E$6:$E$505,Transactions!$D$6:$D$505,A100,Transactions!$C$6:$C$505,"Adjustment",Transactions!$J$6:$J$505,"OK"))</x:f>
      </x:c>
      <x:c r="G100" s="25" t="str">
        <x:f>IF(A100="","",IF(OR(Products!G100&lt;&gt;"OK",(COUNTIFS(Transactions!$J$6:$J$505,"Check inputs")+COUNTIFS(Transactions!$J$6:$J$505,"Check sale amounts"))&gt;0),"Fix inputs",C100+D100-E100+F100))</x:f>
      </x:c>
      <x:c r="H100" s="25" t="str">
        <x:f>IF(A100="","",Products!F100)</x:f>
      </x:c>
      <x:c r="I100" s="25" t="str">
        <x:f>IF(A100="","",IF(NOT(ISNUMBER(G100)),"Fix inputs",IF(G100&lt;0,"Negative stock",IF(G100&lt;=H100,"Reorder","In stock"))))</x:f>
      </x:c>
      <x:c r="J100" s="26" t="str">
        <x:f>IF(A100="","",IF(ISNUMBER(G100),G100*Products!E100,"Fix inputs"))</x:f>
      </x:c>
    </x:row>
    <x:row r="101" ht="27" customHeight="1">
      <x:c r="A101" s="27" t="str">
        <x:f>IF(Products!A101="","",Products!A101)</x:f>
      </x:c>
      <x:c r="B101" s="27" t="str">
        <x:f>IF(A101="","",Products!B101)</x:f>
      </x:c>
      <x:c r="C101" s="27" t="str">
        <x:f>IF(A101="","",Products!D101)</x:f>
      </x:c>
      <x:c r="D101" s="27" t="str">
        <x:f>IF(A101="","",SUMIFS(Transactions!$E$6:$E$505,Transactions!$D$6:$D$505,A101,Transactions!$C$6:$C$505,"Purchase",Transactions!$J$6:$J$505,"OK"))</x:f>
      </x:c>
      <x:c r="E101" s="27" t="str">
        <x:f>IF(A101="","",SUMIFS(Transactions!$E$6:$E$505,Transactions!$D$6:$D$505,A101,Transactions!$C$6:$C$505,"Sale",Transactions!$J$6:$J$505,"OK"))</x:f>
      </x:c>
      <x:c r="F101" s="27" t="str">
        <x:f>IF(A101="","",SUMIFS(Transactions!$E$6:$E$505,Transactions!$D$6:$D$505,A101,Transactions!$C$6:$C$505,"Adjustment",Transactions!$J$6:$J$505,"OK"))</x:f>
      </x:c>
      <x:c r="G101" s="27" t="str">
        <x:f>IF(A101="","",IF(OR(Products!G101&lt;&gt;"OK",(COUNTIFS(Transactions!$J$6:$J$505,"Check inputs")+COUNTIFS(Transactions!$J$6:$J$505,"Check sale amounts"))&gt;0),"Fix inputs",C101+D101-E101+F101))</x:f>
      </x:c>
      <x:c r="H101" s="27" t="str">
        <x:f>IF(A101="","",Products!F101)</x:f>
      </x:c>
      <x:c r="I101" s="27" t="str">
        <x:f>IF(A101="","",IF(NOT(ISNUMBER(G101)),"Fix inputs",IF(G101&lt;0,"Negative stock",IF(G101&lt;=H101,"Reorder","In stock"))))</x:f>
      </x:c>
      <x:c r="J101" s="28" t="str">
        <x:f>IF(A101="","",IF(ISNUMBER(G101),G101*Products!E101,"Fix inputs"))</x:f>
      </x:c>
    </x:row>
    <x:row r="102" ht="27" customHeight="1">
      <x:c r="A102" s="25" t="str">
        <x:f>IF(Products!A102="","",Products!A102)</x:f>
      </x:c>
      <x:c r="B102" s="25" t="str">
        <x:f>IF(A102="","",Products!B102)</x:f>
      </x:c>
      <x:c r="C102" s="25" t="str">
        <x:f>IF(A102="","",Products!D102)</x:f>
      </x:c>
      <x:c r="D102" s="25" t="str">
        <x:f>IF(A102="","",SUMIFS(Transactions!$E$6:$E$505,Transactions!$D$6:$D$505,A102,Transactions!$C$6:$C$505,"Purchase",Transactions!$J$6:$J$505,"OK"))</x:f>
      </x:c>
      <x:c r="E102" s="25" t="str">
        <x:f>IF(A102="","",SUMIFS(Transactions!$E$6:$E$505,Transactions!$D$6:$D$505,A102,Transactions!$C$6:$C$505,"Sale",Transactions!$J$6:$J$505,"OK"))</x:f>
      </x:c>
      <x:c r="F102" s="25" t="str">
        <x:f>IF(A102="","",SUMIFS(Transactions!$E$6:$E$505,Transactions!$D$6:$D$505,A102,Transactions!$C$6:$C$505,"Adjustment",Transactions!$J$6:$J$505,"OK"))</x:f>
      </x:c>
      <x:c r="G102" s="25" t="str">
        <x:f>IF(A102="","",IF(OR(Products!G102&lt;&gt;"OK",(COUNTIFS(Transactions!$J$6:$J$505,"Check inputs")+COUNTIFS(Transactions!$J$6:$J$505,"Check sale amounts"))&gt;0),"Fix inputs",C102+D102-E102+F102))</x:f>
      </x:c>
      <x:c r="H102" s="25" t="str">
        <x:f>IF(A102="","",Products!F102)</x:f>
      </x:c>
      <x:c r="I102" s="25" t="str">
        <x:f>IF(A102="","",IF(NOT(ISNUMBER(G102)),"Fix inputs",IF(G102&lt;0,"Negative stock",IF(G102&lt;=H102,"Reorder","In stock"))))</x:f>
      </x:c>
      <x:c r="J102" s="26" t="str">
        <x:f>IF(A102="","",IF(ISNUMBER(G102),G102*Products!E102,"Fix inputs"))</x:f>
      </x:c>
    </x:row>
    <x:row r="103" ht="27" customHeight="1">
      <x:c r="A103" s="27" t="str">
        <x:f>IF(Products!A103="","",Products!A103)</x:f>
      </x:c>
      <x:c r="B103" s="27" t="str">
        <x:f>IF(A103="","",Products!B103)</x:f>
      </x:c>
      <x:c r="C103" s="27" t="str">
        <x:f>IF(A103="","",Products!D103)</x:f>
      </x:c>
      <x:c r="D103" s="27" t="str">
        <x:f>IF(A103="","",SUMIFS(Transactions!$E$6:$E$505,Transactions!$D$6:$D$505,A103,Transactions!$C$6:$C$505,"Purchase",Transactions!$J$6:$J$505,"OK"))</x:f>
      </x:c>
      <x:c r="E103" s="27" t="str">
        <x:f>IF(A103="","",SUMIFS(Transactions!$E$6:$E$505,Transactions!$D$6:$D$505,A103,Transactions!$C$6:$C$505,"Sale",Transactions!$J$6:$J$505,"OK"))</x:f>
      </x:c>
      <x:c r="F103" s="27" t="str">
        <x:f>IF(A103="","",SUMIFS(Transactions!$E$6:$E$505,Transactions!$D$6:$D$505,A103,Transactions!$C$6:$C$505,"Adjustment",Transactions!$J$6:$J$505,"OK"))</x:f>
      </x:c>
      <x:c r="G103" s="27" t="str">
        <x:f>IF(A103="","",IF(OR(Products!G103&lt;&gt;"OK",(COUNTIFS(Transactions!$J$6:$J$505,"Check inputs")+COUNTIFS(Transactions!$J$6:$J$505,"Check sale amounts"))&gt;0),"Fix inputs",C103+D103-E103+F103))</x:f>
      </x:c>
      <x:c r="H103" s="27" t="str">
        <x:f>IF(A103="","",Products!F103)</x:f>
      </x:c>
      <x:c r="I103" s="27" t="str">
        <x:f>IF(A103="","",IF(NOT(ISNUMBER(G103)),"Fix inputs",IF(G103&lt;0,"Negative stock",IF(G103&lt;=H103,"Reorder","In stock"))))</x:f>
      </x:c>
      <x:c r="J103" s="28" t="str">
        <x:f>IF(A103="","",IF(ISNUMBER(G103),G103*Products!E103,"Fix inputs"))</x:f>
      </x:c>
    </x:row>
    <x:row r="104" ht="27" customHeight="1">
      <x:c r="A104" s="25" t="str">
        <x:f>IF(Products!A104="","",Products!A104)</x:f>
      </x:c>
      <x:c r="B104" s="25" t="str">
        <x:f>IF(A104="","",Products!B104)</x:f>
      </x:c>
      <x:c r="C104" s="25" t="str">
        <x:f>IF(A104="","",Products!D104)</x:f>
      </x:c>
      <x:c r="D104" s="25" t="str">
        <x:f>IF(A104="","",SUMIFS(Transactions!$E$6:$E$505,Transactions!$D$6:$D$505,A104,Transactions!$C$6:$C$505,"Purchase",Transactions!$J$6:$J$505,"OK"))</x:f>
      </x:c>
      <x:c r="E104" s="25" t="str">
        <x:f>IF(A104="","",SUMIFS(Transactions!$E$6:$E$505,Transactions!$D$6:$D$505,A104,Transactions!$C$6:$C$505,"Sale",Transactions!$J$6:$J$505,"OK"))</x:f>
      </x:c>
      <x:c r="F104" s="25" t="str">
        <x:f>IF(A104="","",SUMIFS(Transactions!$E$6:$E$505,Transactions!$D$6:$D$505,A104,Transactions!$C$6:$C$505,"Adjustment",Transactions!$J$6:$J$505,"OK"))</x:f>
      </x:c>
      <x:c r="G104" s="25" t="str">
        <x:f>IF(A104="","",IF(OR(Products!G104&lt;&gt;"OK",(COUNTIFS(Transactions!$J$6:$J$505,"Check inputs")+COUNTIFS(Transactions!$J$6:$J$505,"Check sale amounts"))&gt;0),"Fix inputs",C104+D104-E104+F104))</x:f>
      </x:c>
      <x:c r="H104" s="25" t="str">
        <x:f>IF(A104="","",Products!F104)</x:f>
      </x:c>
      <x:c r="I104" s="25" t="str">
        <x:f>IF(A104="","",IF(NOT(ISNUMBER(G104)),"Fix inputs",IF(G104&lt;0,"Negative stock",IF(G104&lt;=H104,"Reorder","In stock"))))</x:f>
      </x:c>
      <x:c r="J104" s="26" t="str">
        <x:f>IF(A104="","",IF(ISNUMBER(G104),G104*Products!E104,"Fix inputs"))</x:f>
      </x:c>
    </x:row>
    <x:row r="105" ht="27" customHeight="1">
      <x:c r="A105" s="27" t="str">
        <x:f>IF(Products!A105="","",Products!A105)</x:f>
      </x:c>
      <x:c r="B105" s="27" t="str">
        <x:f>IF(A105="","",Products!B105)</x:f>
      </x:c>
      <x:c r="C105" s="27" t="str">
        <x:f>IF(A105="","",Products!D105)</x:f>
      </x:c>
      <x:c r="D105" s="27" t="str">
        <x:f>IF(A105="","",SUMIFS(Transactions!$E$6:$E$505,Transactions!$D$6:$D$505,A105,Transactions!$C$6:$C$505,"Purchase",Transactions!$J$6:$J$505,"OK"))</x:f>
      </x:c>
      <x:c r="E105" s="27" t="str">
        <x:f>IF(A105="","",SUMIFS(Transactions!$E$6:$E$505,Transactions!$D$6:$D$505,A105,Transactions!$C$6:$C$505,"Sale",Transactions!$J$6:$J$505,"OK"))</x:f>
      </x:c>
      <x:c r="F105" s="27" t="str">
        <x:f>IF(A105="","",SUMIFS(Transactions!$E$6:$E$505,Transactions!$D$6:$D$505,A105,Transactions!$C$6:$C$505,"Adjustment",Transactions!$J$6:$J$505,"OK"))</x:f>
      </x:c>
      <x:c r="G105" s="27" t="str">
        <x:f>IF(A105="","",IF(OR(Products!G105&lt;&gt;"OK",(COUNTIFS(Transactions!$J$6:$J$505,"Check inputs")+COUNTIFS(Transactions!$J$6:$J$505,"Check sale amounts"))&gt;0),"Fix inputs",C105+D105-E105+F105))</x:f>
      </x:c>
      <x:c r="H105" s="27" t="str">
        <x:f>IF(A105="","",Products!F105)</x:f>
      </x:c>
      <x:c r="I105" s="27" t="str">
        <x:f>IF(A105="","",IF(NOT(ISNUMBER(G105)),"Fix inputs",IF(G105&lt;0,"Negative stock",IF(G105&lt;=H105,"Reorder","In stock"))))</x:f>
      </x:c>
      <x:c r="J105" s="28" t="str">
        <x:f>IF(A105="","",IF(ISNUMBER(G105),G105*Products!E105,"Fix inputs"))</x:f>
      </x:c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conditionalFormatting sqref="I6:I105">
    <x:cfRule type="containsText" dxfId="0" priority="1" operator="containsText" text="Reorder"/>
    <x:cfRule type="containsText" dxfId="1" priority="2" operator="containsText" text="Negative"/>
  </x:conditionalFormatting>
  <x:pageMargins left="0.7" right="0.7" top="0.75" bottom="0.75" header="0.3" footer="0.3"/>
  <x:tableParts count="1">
    <x:tablePart xmlns:r="http://schemas.openxmlformats.org/officeDocument/2006/relationships" r:id="Rae0bf4f3053146fa"/>
  </x:tableParts>
</x:worksheet>
</file>

<file path=xl/worksheets/sheet3.xml><?xml version="1.0" encoding="utf-8"?>
<x:worksheet xmlns:x="http://schemas.openxmlformats.org/spreadsheetml/2006/main">
  <x:sheetPr>
    <x:tabColor rgb="FF7050E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3" customHeight="1">
      <x:c r="A1" s="130"/>
      <x:c r="B1" s="130"/>
      <x:c r="C1" s="130"/>
      <x:c r="D1" s="130"/>
      <x:c r="E1" s="130"/>
      <x:c r="F1" s="130"/>
      <x:c r="G1" s="130"/>
    </x:row>
    <x:row r="2" ht="23" customHeight="1">
      <x:c r="A2" s="131" t="str">
        <x:v>Product catalogue</x:v>
      </x:c>
      <x:c r="B2" s="130"/>
      <x:c r="C2" s="130"/>
      <x:c r="D2" s="130"/>
      <x:c r="E2" s="130"/>
      <x:c r="F2" s="130"/>
      <x:c r="G2" s="130"/>
    </x:row>
    <x:row r="3" ht="23" customHeight="1">
      <x:c r="A3" s="132" t="str">
        <x:v>Amber cells are editable. Use one unique SKU for each size / colour. Demo data included.</x:v>
      </x:c>
      <x:c r="B3" s="130"/>
      <x:c r="C3" s="130"/>
      <x:c r="D3" s="130"/>
      <x:c r="E3" s="130"/>
      <x:c r="F3" s="130"/>
      <x:c r="G3" s="130"/>
    </x:row>
    <x:row r="4" ht="23" customHeight="1">
      <x:c r="A4" s="130"/>
      <x:c r="B4" s="130"/>
      <x:c r="C4" s="130"/>
      <x:c r="D4" s="130"/>
      <x:c r="E4" s="130"/>
      <x:c r="F4" s="130"/>
      <x:c r="G4" s="130"/>
    </x:row>
    <x:row r="5" ht="34" customHeight="1">
      <x:c r="A5" s="133" t="str">
        <x:v>SKU</x:v>
      </x:c>
      <x:c r="B5" s="133" t="str">
        <x:v>Product / variant</x:v>
      </x:c>
      <x:c r="C5" s="133" t="str">
        <x:v>Category</x:v>
      </x:c>
      <x:c r="D5" s="133" t="str">
        <x:v>Opening units</x:v>
      </x:c>
      <x:c r="E5" s="133" t="str">
        <x:v>Unit cost</x:v>
      </x:c>
      <x:c r="F5" s="133" t="str">
        <x:v>Reorder level</x:v>
      </x:c>
      <x:c r="G5" s="133" t="str">
        <x:v>Check</x:v>
      </x:c>
    </x:row>
    <x:row r="6" ht="27" customHeight="1">
      <x:c r="A6" s="29" t="str">
        <x:v>TS-BLK-M</x:v>
      </x:c>
      <x:c r="B6" s="29" t="str">
        <x:v>T-shirt / Black / M</x:v>
      </x:c>
      <x:c r="C6" s="29" t="str">
        <x:v>T-shirts</x:v>
      </x:c>
      <x:c r="D6" s="29" t="n">
        <x:v>20</x:v>
      </x:c>
      <x:c r="E6" s="30" t="n">
        <x:v>300</x:v>
      </x:c>
      <x:c r="F6" s="29" t="n">
        <x:v>5</x:v>
      </x:c>
      <x:c r="G6" s="25" t="str">
        <x:f>IF(A6="","",IF(COUNTIFS($A$6:$A$105,A6)&lt;&gt;1,"Duplicate SKU",IF(OR(B6="",NOT(ISNUMBER(D6)),NOT(ISNUMBER(E6)),NOT(ISNUMBER(F6)),D6&lt;0,E6&lt;0,F6&lt;0),"Check inputs","OK")))</x:f>
        <x:v>OK</x:v>
      </x:c>
    </x:row>
    <x:row r="7" ht="27" customHeight="1">
      <x:c r="A7" s="29" t="str">
        <x:v>TS-BLK-L</x:v>
      </x:c>
      <x:c r="B7" s="29" t="str">
        <x:v>T-shirt / Black / L</x:v>
      </x:c>
      <x:c r="C7" s="29" t="str">
        <x:v>T-shirts</x:v>
      </x:c>
      <x:c r="D7" s="29" t="n">
        <x:v>15</x:v>
      </x:c>
      <x:c r="E7" s="30" t="n">
        <x:v>300</x:v>
      </x:c>
      <x:c r="F7" s="29" t="n">
        <x:v>5</x:v>
      </x:c>
      <x:c r="G7" s="27" t="str">
        <x:f>IF(A7="","",IF(COUNTIFS($A$6:$A$105,A7)&lt;&gt;1,"Duplicate SKU",IF(OR(B7="",NOT(ISNUMBER(D7)),NOT(ISNUMBER(E7)),NOT(ISNUMBER(F7)),D7&lt;0,E7&lt;0,F7&lt;0),"Check inputs","OK")))</x:f>
        <x:v>OK</x:v>
      </x:c>
    </x:row>
    <x:row r="8" ht="27" customHeight="1">
      <x:c r="A8" s="29" t="str">
        <x:v>JN-BLU-32</x:v>
      </x:c>
      <x:c r="B8" s="29" t="str">
        <x:v>Jeans / Blue / 32</x:v>
      </x:c>
      <x:c r="C8" s="29" t="str">
        <x:v>Jeans</x:v>
      </x:c>
      <x:c r="D8" s="29" t="n">
        <x:v>12</x:v>
      </x:c>
      <x:c r="E8" s="30" t="n">
        <x:v>800</x:v>
      </x:c>
      <x:c r="F8" s="29" t="n">
        <x:v>4</x:v>
      </x:c>
      <x:c r="G8" s="25" t="str">
        <x:f>IF(A8="","",IF(COUNTIFS($A$6:$A$105,A8)&lt;&gt;1,"Duplicate SKU",IF(OR(B8="",NOT(ISNUMBER(D8)),NOT(ISNUMBER(E8)),NOT(ISNUMBER(F8)),D8&lt;0,E8&lt;0,F8&lt;0),"Check inputs","OK")))</x:f>
        <x:v>OK</x:v>
      </x:c>
    </x:row>
    <x:row r="9" ht="27" customHeight="1">
      <x:c r="A9" s="29" t="str">
        <x:v>HD-GRY-M</x:v>
      </x:c>
      <x:c r="B9" s="29" t="str">
        <x:v>Hoodie / Grey / M</x:v>
      </x:c>
      <x:c r="C9" s="29" t="str">
        <x:v>Hoodies</x:v>
      </x:c>
      <x:c r="D9" s="29" t="n">
        <x:v>8</x:v>
      </x:c>
      <x:c r="E9" s="30" t="n">
        <x:v>650</x:v>
      </x:c>
      <x:c r="F9" s="29" t="n">
        <x:v>3</x:v>
      </x:c>
      <x:c r="G9" s="27" t="str">
        <x:f>IF(A9="","",IF(COUNTIFS($A$6:$A$105,A9)&lt;&gt;1,"Duplicate SKU",IF(OR(B9="",NOT(ISNUMBER(D9)),NOT(ISNUMBER(E9)),NOT(ISNUMBER(F9)),D9&lt;0,E9&lt;0,F9&lt;0),"Check inputs","OK")))</x:f>
        <x:v>OK</x:v>
      </x:c>
    </x:row>
    <x:row r="10" ht="27" customHeight="1">
      <x:c r="A10" s="29" t="str">
        <x:v>DR-FLR-S</x:v>
      </x:c>
      <x:c r="B10" s="29" t="str">
        <x:v>Dress / Floral / S</x:v>
      </x:c>
      <x:c r="C10" s="29" t="str">
        <x:v>Dresses</x:v>
      </x:c>
      <x:c r="D10" s="29" t="n">
        <x:v>6</x:v>
      </x:c>
      <x:c r="E10" s="30" t="n">
        <x:v>700</x:v>
      </x:c>
      <x:c r="F10" s="29" t="n">
        <x:v>3</x:v>
      </x:c>
      <x:c r="G10" s="25" t="str">
        <x:f>IF(A10="","",IF(COUNTIFS($A$6:$A$105,A10)&lt;&gt;1,"Duplicate SKU",IF(OR(B10="",NOT(ISNUMBER(D10)),NOT(ISNUMBER(E10)),NOT(ISNUMBER(F10)),D10&lt;0,E10&lt;0,F10&lt;0),"Check inputs","OK")))</x:f>
        <x:v>OK</x:v>
      </x:c>
    </x:row>
    <x:row r="11" ht="27" customHeight="1">
      <x:c r="A11" s="29" t="str">
        <x:v>SH-WHT-M</x:v>
      </x:c>
      <x:c r="B11" s="29" t="str">
        <x:v>Shirt / White / M</x:v>
      </x:c>
      <x:c r="C11" s="29" t="str">
        <x:v>Shirts</x:v>
      </x:c>
      <x:c r="D11" s="29" t="n">
        <x:v>10</x:v>
      </x:c>
      <x:c r="E11" s="30" t="n">
        <x:v>500</x:v>
      </x:c>
      <x:c r="F11" s="29" t="n">
        <x:v>4</x:v>
      </x:c>
      <x:c r="G11" s="27" t="str">
        <x:f>IF(A11="","",IF(COUNTIFS($A$6:$A$105,A11)&lt;&gt;1,"Duplicate SKU",IF(OR(B11="",NOT(ISNUMBER(D11)),NOT(ISNUMBER(E11)),NOT(ISNUMBER(F11)),D11&lt;0,E11&lt;0,F11&lt;0),"Check inputs","OK")))</x:f>
        <x:v>OK</x:v>
      </x:c>
    </x:row>
    <x:row r="12" ht="27" customHeight="1">
      <x:c r="A12" s="29"/>
      <x:c r="B12" s="29"/>
      <x:c r="C12" s="29"/>
      <x:c r="D12" s="29"/>
      <x:c r="E12" s="30"/>
      <x:c r="F12" s="29"/>
      <x:c r="G12" s="25" t="str">
        <x:f>IF(A12="","",IF(COUNTIFS($A$6:$A$105,A12)&lt;&gt;1,"Duplicate SKU",IF(OR(B12="",NOT(ISNUMBER(D12)),NOT(ISNUMBER(E12)),NOT(ISNUMBER(F12)),D12&lt;0,E12&lt;0,F12&lt;0),"Check inputs","OK")))</x:f>
      </x:c>
    </x:row>
    <x:row r="13" ht="27" customHeight="1">
      <x:c r="A13" s="29"/>
      <x:c r="B13" s="29"/>
      <x:c r="C13" s="29"/>
      <x:c r="D13" s="29"/>
      <x:c r="E13" s="30"/>
      <x:c r="F13" s="29"/>
      <x:c r="G13" s="27" t="str">
        <x:f>IF(A13="","",IF(COUNTIFS($A$6:$A$105,A13)&lt;&gt;1,"Duplicate SKU",IF(OR(B13="",NOT(ISNUMBER(D13)),NOT(ISNUMBER(E13)),NOT(ISNUMBER(F13)),D13&lt;0,E13&lt;0,F13&lt;0),"Check inputs","OK")))</x:f>
      </x:c>
    </x:row>
    <x:row r="14" ht="27" customHeight="1">
      <x:c r="A14" s="29"/>
      <x:c r="B14" s="29"/>
      <x:c r="C14" s="29"/>
      <x:c r="D14" s="29"/>
      <x:c r="E14" s="30"/>
      <x:c r="F14" s="29"/>
      <x:c r="G14" s="25" t="str">
        <x:f>IF(A14="","",IF(COUNTIFS($A$6:$A$105,A14)&lt;&gt;1,"Duplicate SKU",IF(OR(B14="",NOT(ISNUMBER(D14)),NOT(ISNUMBER(E14)),NOT(ISNUMBER(F14)),D14&lt;0,E14&lt;0,F14&lt;0),"Check inputs","OK")))</x:f>
      </x:c>
    </x:row>
    <x:row r="15" ht="27" customHeight="1">
      <x:c r="A15" s="29"/>
      <x:c r="B15" s="29"/>
      <x:c r="C15" s="29"/>
      <x:c r="D15" s="29"/>
      <x:c r="E15" s="30"/>
      <x:c r="F15" s="29"/>
      <x:c r="G15" s="27" t="str">
        <x:f>IF(A15="","",IF(COUNTIFS($A$6:$A$105,A15)&lt;&gt;1,"Duplicate SKU",IF(OR(B15="",NOT(ISNUMBER(D15)),NOT(ISNUMBER(E15)),NOT(ISNUMBER(F15)),D15&lt;0,E15&lt;0,F15&lt;0),"Check inputs","OK")))</x:f>
      </x:c>
    </x:row>
    <x:row r="16" ht="27" customHeight="1">
      <x:c r="A16" s="29"/>
      <x:c r="B16" s="29"/>
      <x:c r="C16" s="29"/>
      <x:c r="D16" s="29"/>
      <x:c r="E16" s="30"/>
      <x:c r="F16" s="29"/>
      <x:c r="G16" s="25" t="str">
        <x:f>IF(A16="","",IF(COUNTIFS($A$6:$A$105,A16)&lt;&gt;1,"Duplicate SKU",IF(OR(B16="",NOT(ISNUMBER(D16)),NOT(ISNUMBER(E16)),NOT(ISNUMBER(F16)),D16&lt;0,E16&lt;0,F16&lt;0),"Check inputs","OK")))</x:f>
      </x:c>
    </x:row>
    <x:row r="17" ht="27" customHeight="1">
      <x:c r="A17" s="29"/>
      <x:c r="B17" s="29"/>
      <x:c r="C17" s="29"/>
      <x:c r="D17" s="29"/>
      <x:c r="E17" s="30"/>
      <x:c r="F17" s="29"/>
      <x:c r="G17" s="27" t="str">
        <x:f>IF(A17="","",IF(COUNTIFS($A$6:$A$105,A17)&lt;&gt;1,"Duplicate SKU",IF(OR(B17="",NOT(ISNUMBER(D17)),NOT(ISNUMBER(E17)),NOT(ISNUMBER(F17)),D17&lt;0,E17&lt;0,F17&lt;0),"Check inputs","OK")))</x:f>
      </x:c>
    </x:row>
    <x:row r="18" ht="27" customHeight="1">
      <x:c r="A18" s="29"/>
      <x:c r="B18" s="29"/>
      <x:c r="C18" s="29"/>
      <x:c r="D18" s="29"/>
      <x:c r="E18" s="30"/>
      <x:c r="F18" s="29"/>
      <x:c r="G18" s="25" t="str">
        <x:f>IF(A18="","",IF(COUNTIFS($A$6:$A$105,A18)&lt;&gt;1,"Duplicate SKU",IF(OR(B18="",NOT(ISNUMBER(D18)),NOT(ISNUMBER(E18)),NOT(ISNUMBER(F18)),D18&lt;0,E18&lt;0,F18&lt;0),"Check inputs","OK")))</x:f>
      </x:c>
    </x:row>
    <x:row r="19" ht="27" customHeight="1">
      <x:c r="A19" s="29"/>
      <x:c r="B19" s="29"/>
      <x:c r="C19" s="29"/>
      <x:c r="D19" s="29"/>
      <x:c r="E19" s="30"/>
      <x:c r="F19" s="29"/>
      <x:c r="G19" s="27" t="str">
        <x:f>IF(A19="","",IF(COUNTIFS($A$6:$A$105,A19)&lt;&gt;1,"Duplicate SKU",IF(OR(B19="",NOT(ISNUMBER(D19)),NOT(ISNUMBER(E19)),NOT(ISNUMBER(F19)),D19&lt;0,E19&lt;0,F19&lt;0),"Check inputs","OK")))</x:f>
      </x:c>
    </x:row>
    <x:row r="20" ht="27" customHeight="1">
      <x:c r="A20" s="29"/>
      <x:c r="B20" s="29"/>
      <x:c r="C20" s="29"/>
      <x:c r="D20" s="29"/>
      <x:c r="E20" s="30"/>
      <x:c r="F20" s="29"/>
      <x:c r="G20" s="25" t="str">
        <x:f>IF(A20="","",IF(COUNTIFS($A$6:$A$105,A20)&lt;&gt;1,"Duplicate SKU",IF(OR(B20="",NOT(ISNUMBER(D20)),NOT(ISNUMBER(E20)),NOT(ISNUMBER(F20)),D20&lt;0,E20&lt;0,F20&lt;0),"Check inputs","OK")))</x:f>
      </x:c>
    </x:row>
    <x:row r="21" ht="27" customHeight="1">
      <x:c r="A21" s="29"/>
      <x:c r="B21" s="29"/>
      <x:c r="C21" s="29"/>
      <x:c r="D21" s="29"/>
      <x:c r="E21" s="30"/>
      <x:c r="F21" s="29"/>
      <x:c r="G21" s="27" t="str">
        <x:f>IF(A21="","",IF(COUNTIFS($A$6:$A$105,A21)&lt;&gt;1,"Duplicate SKU",IF(OR(B21="",NOT(ISNUMBER(D21)),NOT(ISNUMBER(E21)),NOT(ISNUMBER(F21)),D21&lt;0,E21&lt;0,F21&lt;0),"Check inputs","OK")))</x:f>
      </x:c>
    </x:row>
    <x:row r="22" ht="27" customHeight="1">
      <x:c r="A22" s="29"/>
      <x:c r="B22" s="29"/>
      <x:c r="C22" s="29"/>
      <x:c r="D22" s="29"/>
      <x:c r="E22" s="30"/>
      <x:c r="F22" s="29"/>
      <x:c r="G22" s="25" t="str">
        <x:f>IF(A22="","",IF(COUNTIFS($A$6:$A$105,A22)&lt;&gt;1,"Duplicate SKU",IF(OR(B22="",NOT(ISNUMBER(D22)),NOT(ISNUMBER(E22)),NOT(ISNUMBER(F22)),D22&lt;0,E22&lt;0,F22&lt;0),"Check inputs","OK")))</x:f>
      </x:c>
    </x:row>
    <x:row r="23" ht="27" customHeight="1">
      <x:c r="A23" s="29"/>
      <x:c r="B23" s="29"/>
      <x:c r="C23" s="29"/>
      <x:c r="D23" s="29"/>
      <x:c r="E23" s="30"/>
      <x:c r="F23" s="29"/>
      <x:c r="G23" s="27" t="str">
        <x:f>IF(A23="","",IF(COUNTIFS($A$6:$A$105,A23)&lt;&gt;1,"Duplicate SKU",IF(OR(B23="",NOT(ISNUMBER(D23)),NOT(ISNUMBER(E23)),NOT(ISNUMBER(F23)),D23&lt;0,E23&lt;0,F23&lt;0),"Check inputs","OK")))</x:f>
      </x:c>
    </x:row>
    <x:row r="24" ht="27" customHeight="1">
      <x:c r="A24" s="29"/>
      <x:c r="B24" s="29"/>
      <x:c r="C24" s="29"/>
      <x:c r="D24" s="29"/>
      <x:c r="E24" s="30"/>
      <x:c r="F24" s="29"/>
      <x:c r="G24" s="25" t="str">
        <x:f>IF(A24="","",IF(COUNTIFS($A$6:$A$105,A24)&lt;&gt;1,"Duplicate SKU",IF(OR(B24="",NOT(ISNUMBER(D24)),NOT(ISNUMBER(E24)),NOT(ISNUMBER(F24)),D24&lt;0,E24&lt;0,F24&lt;0),"Check inputs","OK")))</x:f>
      </x:c>
    </x:row>
    <x:row r="25" ht="27" customHeight="1">
      <x:c r="A25" s="29"/>
      <x:c r="B25" s="29"/>
      <x:c r="C25" s="29"/>
      <x:c r="D25" s="29"/>
      <x:c r="E25" s="30"/>
      <x:c r="F25" s="29"/>
      <x:c r="G25" s="27" t="str">
        <x:f>IF(A25="","",IF(COUNTIFS($A$6:$A$105,A25)&lt;&gt;1,"Duplicate SKU",IF(OR(B25="",NOT(ISNUMBER(D25)),NOT(ISNUMBER(E25)),NOT(ISNUMBER(F25)),D25&lt;0,E25&lt;0,F25&lt;0),"Check inputs","OK")))</x:f>
      </x:c>
    </x:row>
    <x:row r="26" ht="27" customHeight="1">
      <x:c r="A26" s="29"/>
      <x:c r="B26" s="29"/>
      <x:c r="C26" s="29"/>
      <x:c r="D26" s="29"/>
      <x:c r="E26" s="30"/>
      <x:c r="F26" s="29"/>
      <x:c r="G26" s="25" t="str">
        <x:f>IF(A26="","",IF(COUNTIFS($A$6:$A$105,A26)&lt;&gt;1,"Duplicate SKU",IF(OR(B26="",NOT(ISNUMBER(D26)),NOT(ISNUMBER(E26)),NOT(ISNUMBER(F26)),D26&lt;0,E26&lt;0,F26&lt;0),"Check inputs","OK")))</x:f>
      </x:c>
    </x:row>
    <x:row r="27" ht="27" customHeight="1">
      <x:c r="A27" s="29"/>
      <x:c r="B27" s="29"/>
      <x:c r="C27" s="29"/>
      <x:c r="D27" s="29"/>
      <x:c r="E27" s="30"/>
      <x:c r="F27" s="29"/>
      <x:c r="G27" s="27" t="str">
        <x:f>IF(A27="","",IF(COUNTIFS($A$6:$A$105,A27)&lt;&gt;1,"Duplicate SKU",IF(OR(B27="",NOT(ISNUMBER(D27)),NOT(ISNUMBER(E27)),NOT(ISNUMBER(F27)),D27&lt;0,E27&lt;0,F27&lt;0),"Check inputs","OK")))</x:f>
      </x:c>
    </x:row>
    <x:row r="28" ht="27" customHeight="1">
      <x:c r="A28" s="29"/>
      <x:c r="B28" s="29"/>
      <x:c r="C28" s="29"/>
      <x:c r="D28" s="29"/>
      <x:c r="E28" s="30"/>
      <x:c r="F28" s="29"/>
      <x:c r="G28" s="25" t="str">
        <x:f>IF(A28="","",IF(COUNTIFS($A$6:$A$105,A28)&lt;&gt;1,"Duplicate SKU",IF(OR(B28="",NOT(ISNUMBER(D28)),NOT(ISNUMBER(E28)),NOT(ISNUMBER(F28)),D28&lt;0,E28&lt;0,F28&lt;0),"Check inputs","OK")))</x:f>
      </x:c>
    </x:row>
    <x:row r="29" ht="27" customHeight="1">
      <x:c r="A29" s="29"/>
      <x:c r="B29" s="29"/>
      <x:c r="C29" s="29"/>
      <x:c r="D29" s="29"/>
      <x:c r="E29" s="30"/>
      <x:c r="F29" s="29"/>
      <x:c r="G29" s="27" t="str">
        <x:f>IF(A29="","",IF(COUNTIFS($A$6:$A$105,A29)&lt;&gt;1,"Duplicate SKU",IF(OR(B29="",NOT(ISNUMBER(D29)),NOT(ISNUMBER(E29)),NOT(ISNUMBER(F29)),D29&lt;0,E29&lt;0,F29&lt;0),"Check inputs","OK")))</x:f>
      </x:c>
    </x:row>
    <x:row r="30" ht="27" customHeight="1">
      <x:c r="A30" s="29"/>
      <x:c r="B30" s="29"/>
      <x:c r="C30" s="29"/>
      <x:c r="D30" s="29"/>
      <x:c r="E30" s="30"/>
      <x:c r="F30" s="29"/>
      <x:c r="G30" s="25" t="str">
        <x:f>IF(A30="","",IF(COUNTIFS($A$6:$A$105,A30)&lt;&gt;1,"Duplicate SKU",IF(OR(B30="",NOT(ISNUMBER(D30)),NOT(ISNUMBER(E30)),NOT(ISNUMBER(F30)),D30&lt;0,E30&lt;0,F30&lt;0),"Check inputs","OK")))</x:f>
      </x:c>
    </x:row>
    <x:row r="31" ht="27" customHeight="1">
      <x:c r="A31" s="29"/>
      <x:c r="B31" s="29"/>
      <x:c r="C31" s="29"/>
      <x:c r="D31" s="29"/>
      <x:c r="E31" s="30"/>
      <x:c r="F31" s="29"/>
      <x:c r="G31" s="27" t="str">
        <x:f>IF(A31="","",IF(COUNTIFS($A$6:$A$105,A31)&lt;&gt;1,"Duplicate SKU",IF(OR(B31="",NOT(ISNUMBER(D31)),NOT(ISNUMBER(E31)),NOT(ISNUMBER(F31)),D31&lt;0,E31&lt;0,F31&lt;0),"Check inputs","OK")))</x:f>
      </x:c>
    </x:row>
    <x:row r="32" ht="27" customHeight="1">
      <x:c r="A32" s="29"/>
      <x:c r="B32" s="29"/>
      <x:c r="C32" s="29"/>
      <x:c r="D32" s="29"/>
      <x:c r="E32" s="30"/>
      <x:c r="F32" s="29"/>
      <x:c r="G32" s="25" t="str">
        <x:f>IF(A32="","",IF(COUNTIFS($A$6:$A$105,A32)&lt;&gt;1,"Duplicate SKU",IF(OR(B32="",NOT(ISNUMBER(D32)),NOT(ISNUMBER(E32)),NOT(ISNUMBER(F32)),D32&lt;0,E32&lt;0,F32&lt;0),"Check inputs","OK")))</x:f>
      </x:c>
    </x:row>
    <x:row r="33" ht="27" customHeight="1">
      <x:c r="A33" s="29"/>
      <x:c r="B33" s="29"/>
      <x:c r="C33" s="29"/>
      <x:c r="D33" s="29"/>
      <x:c r="E33" s="30"/>
      <x:c r="F33" s="29"/>
      <x:c r="G33" s="27" t="str">
        <x:f>IF(A33="","",IF(COUNTIFS($A$6:$A$105,A33)&lt;&gt;1,"Duplicate SKU",IF(OR(B33="",NOT(ISNUMBER(D33)),NOT(ISNUMBER(E33)),NOT(ISNUMBER(F33)),D33&lt;0,E33&lt;0,F33&lt;0),"Check inputs","OK")))</x:f>
      </x:c>
    </x:row>
    <x:row r="34" ht="27" customHeight="1">
      <x:c r="A34" s="29"/>
      <x:c r="B34" s="29"/>
      <x:c r="C34" s="29"/>
      <x:c r="D34" s="29"/>
      <x:c r="E34" s="30"/>
      <x:c r="F34" s="29"/>
      <x:c r="G34" s="25" t="str">
        <x:f>IF(A34="","",IF(COUNTIFS($A$6:$A$105,A34)&lt;&gt;1,"Duplicate SKU",IF(OR(B34="",NOT(ISNUMBER(D34)),NOT(ISNUMBER(E34)),NOT(ISNUMBER(F34)),D34&lt;0,E34&lt;0,F34&lt;0),"Check inputs","OK")))</x:f>
      </x:c>
    </x:row>
    <x:row r="35" ht="27" customHeight="1">
      <x:c r="A35" s="29"/>
      <x:c r="B35" s="29"/>
      <x:c r="C35" s="29"/>
      <x:c r="D35" s="29"/>
      <x:c r="E35" s="30"/>
      <x:c r="F35" s="29"/>
      <x:c r="G35" s="27" t="str">
        <x:f>IF(A35="","",IF(COUNTIFS($A$6:$A$105,A35)&lt;&gt;1,"Duplicate SKU",IF(OR(B35="",NOT(ISNUMBER(D35)),NOT(ISNUMBER(E35)),NOT(ISNUMBER(F35)),D35&lt;0,E35&lt;0,F35&lt;0),"Check inputs","OK")))</x:f>
      </x:c>
    </x:row>
    <x:row r="36" ht="27" customHeight="1">
      <x:c r="A36" s="29"/>
      <x:c r="B36" s="29"/>
      <x:c r="C36" s="29"/>
      <x:c r="D36" s="29"/>
      <x:c r="E36" s="30"/>
      <x:c r="F36" s="29"/>
      <x:c r="G36" s="25" t="str">
        <x:f>IF(A36="","",IF(COUNTIFS($A$6:$A$105,A36)&lt;&gt;1,"Duplicate SKU",IF(OR(B36="",NOT(ISNUMBER(D36)),NOT(ISNUMBER(E36)),NOT(ISNUMBER(F36)),D36&lt;0,E36&lt;0,F36&lt;0),"Check inputs","OK")))</x:f>
      </x:c>
    </x:row>
    <x:row r="37" ht="27" customHeight="1">
      <x:c r="A37" s="29"/>
      <x:c r="B37" s="29"/>
      <x:c r="C37" s="29"/>
      <x:c r="D37" s="29"/>
      <x:c r="E37" s="30"/>
      <x:c r="F37" s="29"/>
      <x:c r="G37" s="27" t="str">
        <x:f>IF(A37="","",IF(COUNTIFS($A$6:$A$105,A37)&lt;&gt;1,"Duplicate SKU",IF(OR(B37="",NOT(ISNUMBER(D37)),NOT(ISNUMBER(E37)),NOT(ISNUMBER(F37)),D37&lt;0,E37&lt;0,F37&lt;0),"Check inputs","OK")))</x:f>
      </x:c>
    </x:row>
    <x:row r="38" ht="27" customHeight="1">
      <x:c r="A38" s="29"/>
      <x:c r="B38" s="29"/>
      <x:c r="C38" s="29"/>
      <x:c r="D38" s="29"/>
      <x:c r="E38" s="30"/>
      <x:c r="F38" s="29"/>
      <x:c r="G38" s="25" t="str">
        <x:f>IF(A38="","",IF(COUNTIFS($A$6:$A$105,A38)&lt;&gt;1,"Duplicate SKU",IF(OR(B38="",NOT(ISNUMBER(D38)),NOT(ISNUMBER(E38)),NOT(ISNUMBER(F38)),D38&lt;0,E38&lt;0,F38&lt;0),"Check inputs","OK")))</x:f>
      </x:c>
    </x:row>
    <x:row r="39" ht="27" customHeight="1">
      <x:c r="A39" s="29"/>
      <x:c r="B39" s="29"/>
      <x:c r="C39" s="29"/>
      <x:c r="D39" s="29"/>
      <x:c r="E39" s="30"/>
      <x:c r="F39" s="29"/>
      <x:c r="G39" s="27" t="str">
        <x:f>IF(A39="","",IF(COUNTIFS($A$6:$A$105,A39)&lt;&gt;1,"Duplicate SKU",IF(OR(B39="",NOT(ISNUMBER(D39)),NOT(ISNUMBER(E39)),NOT(ISNUMBER(F39)),D39&lt;0,E39&lt;0,F39&lt;0),"Check inputs","OK")))</x:f>
      </x:c>
    </x:row>
    <x:row r="40" ht="27" customHeight="1">
      <x:c r="A40" s="29"/>
      <x:c r="B40" s="29"/>
      <x:c r="C40" s="29"/>
      <x:c r="D40" s="29"/>
      <x:c r="E40" s="30"/>
      <x:c r="F40" s="29"/>
      <x:c r="G40" s="25" t="str">
        <x:f>IF(A40="","",IF(COUNTIFS($A$6:$A$105,A40)&lt;&gt;1,"Duplicate SKU",IF(OR(B40="",NOT(ISNUMBER(D40)),NOT(ISNUMBER(E40)),NOT(ISNUMBER(F40)),D40&lt;0,E40&lt;0,F40&lt;0),"Check inputs","OK")))</x:f>
      </x:c>
    </x:row>
    <x:row r="41" ht="27" customHeight="1">
      <x:c r="A41" s="29"/>
      <x:c r="B41" s="29"/>
      <x:c r="C41" s="29"/>
      <x:c r="D41" s="29"/>
      <x:c r="E41" s="30"/>
      <x:c r="F41" s="29"/>
      <x:c r="G41" s="27" t="str">
        <x:f>IF(A41="","",IF(COUNTIFS($A$6:$A$105,A41)&lt;&gt;1,"Duplicate SKU",IF(OR(B41="",NOT(ISNUMBER(D41)),NOT(ISNUMBER(E41)),NOT(ISNUMBER(F41)),D41&lt;0,E41&lt;0,F41&lt;0),"Check inputs","OK")))</x:f>
      </x:c>
    </x:row>
    <x:row r="42" ht="27" customHeight="1">
      <x:c r="A42" s="29"/>
      <x:c r="B42" s="29"/>
      <x:c r="C42" s="29"/>
      <x:c r="D42" s="29"/>
      <x:c r="E42" s="30"/>
      <x:c r="F42" s="29"/>
      <x:c r="G42" s="25" t="str">
        <x:f>IF(A42="","",IF(COUNTIFS($A$6:$A$105,A42)&lt;&gt;1,"Duplicate SKU",IF(OR(B42="",NOT(ISNUMBER(D42)),NOT(ISNUMBER(E42)),NOT(ISNUMBER(F42)),D42&lt;0,E42&lt;0,F42&lt;0),"Check inputs","OK")))</x:f>
      </x:c>
    </x:row>
    <x:row r="43" ht="27" customHeight="1">
      <x:c r="A43" s="29"/>
      <x:c r="B43" s="29"/>
      <x:c r="C43" s="29"/>
      <x:c r="D43" s="29"/>
      <x:c r="E43" s="30"/>
      <x:c r="F43" s="29"/>
      <x:c r="G43" s="27" t="str">
        <x:f>IF(A43="","",IF(COUNTIFS($A$6:$A$105,A43)&lt;&gt;1,"Duplicate SKU",IF(OR(B43="",NOT(ISNUMBER(D43)),NOT(ISNUMBER(E43)),NOT(ISNUMBER(F43)),D43&lt;0,E43&lt;0,F43&lt;0),"Check inputs","OK")))</x:f>
      </x:c>
    </x:row>
    <x:row r="44" ht="27" customHeight="1">
      <x:c r="A44" s="29"/>
      <x:c r="B44" s="29"/>
      <x:c r="C44" s="29"/>
      <x:c r="D44" s="29"/>
      <x:c r="E44" s="30"/>
      <x:c r="F44" s="29"/>
      <x:c r="G44" s="25" t="str">
        <x:f>IF(A44="","",IF(COUNTIFS($A$6:$A$105,A44)&lt;&gt;1,"Duplicate SKU",IF(OR(B44="",NOT(ISNUMBER(D44)),NOT(ISNUMBER(E44)),NOT(ISNUMBER(F44)),D44&lt;0,E44&lt;0,F44&lt;0),"Check inputs","OK")))</x:f>
      </x:c>
    </x:row>
    <x:row r="45" ht="27" customHeight="1">
      <x:c r="A45" s="29"/>
      <x:c r="B45" s="29"/>
      <x:c r="C45" s="29"/>
      <x:c r="D45" s="29"/>
      <x:c r="E45" s="30"/>
      <x:c r="F45" s="29"/>
      <x:c r="G45" s="27" t="str">
        <x:f>IF(A45="","",IF(COUNTIFS($A$6:$A$105,A45)&lt;&gt;1,"Duplicate SKU",IF(OR(B45="",NOT(ISNUMBER(D45)),NOT(ISNUMBER(E45)),NOT(ISNUMBER(F45)),D45&lt;0,E45&lt;0,F45&lt;0),"Check inputs","OK")))</x:f>
      </x:c>
    </x:row>
    <x:row r="46" ht="27" customHeight="1">
      <x:c r="A46" s="29"/>
      <x:c r="B46" s="29"/>
      <x:c r="C46" s="29"/>
      <x:c r="D46" s="29"/>
      <x:c r="E46" s="30"/>
      <x:c r="F46" s="29"/>
      <x:c r="G46" s="25" t="str">
        <x:f>IF(A46="","",IF(COUNTIFS($A$6:$A$105,A46)&lt;&gt;1,"Duplicate SKU",IF(OR(B46="",NOT(ISNUMBER(D46)),NOT(ISNUMBER(E46)),NOT(ISNUMBER(F46)),D46&lt;0,E46&lt;0,F46&lt;0),"Check inputs","OK")))</x:f>
      </x:c>
    </x:row>
    <x:row r="47" ht="27" customHeight="1">
      <x:c r="A47" s="29"/>
      <x:c r="B47" s="29"/>
      <x:c r="C47" s="29"/>
      <x:c r="D47" s="29"/>
      <x:c r="E47" s="30"/>
      <x:c r="F47" s="29"/>
      <x:c r="G47" s="27" t="str">
        <x:f>IF(A47="","",IF(COUNTIFS($A$6:$A$105,A47)&lt;&gt;1,"Duplicate SKU",IF(OR(B47="",NOT(ISNUMBER(D47)),NOT(ISNUMBER(E47)),NOT(ISNUMBER(F47)),D47&lt;0,E47&lt;0,F47&lt;0),"Check inputs","OK")))</x:f>
      </x:c>
    </x:row>
    <x:row r="48" ht="27" customHeight="1">
      <x:c r="A48" s="29"/>
      <x:c r="B48" s="29"/>
      <x:c r="C48" s="29"/>
      <x:c r="D48" s="29"/>
      <x:c r="E48" s="30"/>
      <x:c r="F48" s="29"/>
      <x:c r="G48" s="25" t="str">
        <x:f>IF(A48="","",IF(COUNTIFS($A$6:$A$105,A48)&lt;&gt;1,"Duplicate SKU",IF(OR(B48="",NOT(ISNUMBER(D48)),NOT(ISNUMBER(E48)),NOT(ISNUMBER(F48)),D48&lt;0,E48&lt;0,F48&lt;0),"Check inputs","OK")))</x:f>
      </x:c>
    </x:row>
    <x:row r="49" ht="27" customHeight="1">
      <x:c r="A49" s="29"/>
      <x:c r="B49" s="29"/>
      <x:c r="C49" s="29"/>
      <x:c r="D49" s="29"/>
      <x:c r="E49" s="30"/>
      <x:c r="F49" s="29"/>
      <x:c r="G49" s="27" t="str">
        <x:f>IF(A49="","",IF(COUNTIFS($A$6:$A$105,A49)&lt;&gt;1,"Duplicate SKU",IF(OR(B49="",NOT(ISNUMBER(D49)),NOT(ISNUMBER(E49)),NOT(ISNUMBER(F49)),D49&lt;0,E49&lt;0,F49&lt;0),"Check inputs","OK")))</x:f>
      </x:c>
    </x:row>
    <x:row r="50" ht="27" customHeight="1">
      <x:c r="A50" s="29"/>
      <x:c r="B50" s="29"/>
      <x:c r="C50" s="29"/>
      <x:c r="D50" s="29"/>
      <x:c r="E50" s="30"/>
      <x:c r="F50" s="29"/>
      <x:c r="G50" s="25" t="str">
        <x:f>IF(A50="","",IF(COUNTIFS($A$6:$A$105,A50)&lt;&gt;1,"Duplicate SKU",IF(OR(B50="",NOT(ISNUMBER(D50)),NOT(ISNUMBER(E50)),NOT(ISNUMBER(F50)),D50&lt;0,E50&lt;0,F50&lt;0),"Check inputs","OK")))</x:f>
      </x:c>
    </x:row>
    <x:row r="51" ht="27" customHeight="1">
      <x:c r="A51" s="29"/>
      <x:c r="B51" s="29"/>
      <x:c r="C51" s="29"/>
      <x:c r="D51" s="29"/>
      <x:c r="E51" s="30"/>
      <x:c r="F51" s="29"/>
      <x:c r="G51" s="27" t="str">
        <x:f>IF(A51="","",IF(COUNTIFS($A$6:$A$105,A51)&lt;&gt;1,"Duplicate SKU",IF(OR(B51="",NOT(ISNUMBER(D51)),NOT(ISNUMBER(E51)),NOT(ISNUMBER(F51)),D51&lt;0,E51&lt;0,F51&lt;0),"Check inputs","OK")))</x:f>
      </x:c>
    </x:row>
    <x:row r="52" ht="27" customHeight="1">
      <x:c r="A52" s="29"/>
      <x:c r="B52" s="29"/>
      <x:c r="C52" s="29"/>
      <x:c r="D52" s="29"/>
      <x:c r="E52" s="30"/>
      <x:c r="F52" s="29"/>
      <x:c r="G52" s="25" t="str">
        <x:f>IF(A52="","",IF(COUNTIFS($A$6:$A$105,A52)&lt;&gt;1,"Duplicate SKU",IF(OR(B52="",NOT(ISNUMBER(D52)),NOT(ISNUMBER(E52)),NOT(ISNUMBER(F52)),D52&lt;0,E52&lt;0,F52&lt;0),"Check inputs","OK")))</x:f>
      </x:c>
    </x:row>
    <x:row r="53" ht="27" customHeight="1">
      <x:c r="A53" s="29"/>
      <x:c r="B53" s="29"/>
      <x:c r="C53" s="29"/>
      <x:c r="D53" s="29"/>
      <x:c r="E53" s="30"/>
      <x:c r="F53" s="29"/>
      <x:c r="G53" s="27" t="str">
        <x:f>IF(A53="","",IF(COUNTIFS($A$6:$A$105,A53)&lt;&gt;1,"Duplicate SKU",IF(OR(B53="",NOT(ISNUMBER(D53)),NOT(ISNUMBER(E53)),NOT(ISNUMBER(F53)),D53&lt;0,E53&lt;0,F53&lt;0),"Check inputs","OK")))</x:f>
      </x:c>
    </x:row>
    <x:row r="54" ht="27" customHeight="1">
      <x:c r="A54" s="29"/>
      <x:c r="B54" s="29"/>
      <x:c r="C54" s="29"/>
      <x:c r="D54" s="29"/>
      <x:c r="E54" s="30"/>
      <x:c r="F54" s="29"/>
      <x:c r="G54" s="25" t="str">
        <x:f>IF(A54="","",IF(COUNTIFS($A$6:$A$105,A54)&lt;&gt;1,"Duplicate SKU",IF(OR(B54="",NOT(ISNUMBER(D54)),NOT(ISNUMBER(E54)),NOT(ISNUMBER(F54)),D54&lt;0,E54&lt;0,F54&lt;0),"Check inputs","OK")))</x:f>
      </x:c>
    </x:row>
    <x:row r="55" ht="27" customHeight="1">
      <x:c r="A55" s="29"/>
      <x:c r="B55" s="29"/>
      <x:c r="C55" s="29"/>
      <x:c r="D55" s="29"/>
      <x:c r="E55" s="30"/>
      <x:c r="F55" s="29"/>
      <x:c r="G55" s="27" t="str">
        <x:f>IF(A55="","",IF(COUNTIFS($A$6:$A$105,A55)&lt;&gt;1,"Duplicate SKU",IF(OR(B55="",NOT(ISNUMBER(D55)),NOT(ISNUMBER(E55)),NOT(ISNUMBER(F55)),D55&lt;0,E55&lt;0,F55&lt;0),"Check inputs","OK")))</x:f>
      </x:c>
    </x:row>
    <x:row r="56" ht="27" customHeight="1">
      <x:c r="A56" s="29"/>
      <x:c r="B56" s="29"/>
      <x:c r="C56" s="29"/>
      <x:c r="D56" s="29"/>
      <x:c r="E56" s="30"/>
      <x:c r="F56" s="29"/>
      <x:c r="G56" s="25" t="str">
        <x:f>IF(A56="","",IF(COUNTIFS($A$6:$A$105,A56)&lt;&gt;1,"Duplicate SKU",IF(OR(B56="",NOT(ISNUMBER(D56)),NOT(ISNUMBER(E56)),NOT(ISNUMBER(F56)),D56&lt;0,E56&lt;0,F56&lt;0),"Check inputs","OK")))</x:f>
      </x:c>
    </x:row>
    <x:row r="57" ht="27" customHeight="1">
      <x:c r="A57" s="29"/>
      <x:c r="B57" s="29"/>
      <x:c r="C57" s="29"/>
      <x:c r="D57" s="29"/>
      <x:c r="E57" s="30"/>
      <x:c r="F57" s="29"/>
      <x:c r="G57" s="27" t="str">
        <x:f>IF(A57="","",IF(COUNTIFS($A$6:$A$105,A57)&lt;&gt;1,"Duplicate SKU",IF(OR(B57="",NOT(ISNUMBER(D57)),NOT(ISNUMBER(E57)),NOT(ISNUMBER(F57)),D57&lt;0,E57&lt;0,F57&lt;0),"Check inputs","OK")))</x:f>
      </x:c>
    </x:row>
    <x:row r="58" ht="27" customHeight="1">
      <x:c r="A58" s="29"/>
      <x:c r="B58" s="29"/>
      <x:c r="C58" s="29"/>
      <x:c r="D58" s="29"/>
      <x:c r="E58" s="30"/>
      <x:c r="F58" s="29"/>
      <x:c r="G58" s="25" t="str">
        <x:f>IF(A58="","",IF(COUNTIFS($A$6:$A$105,A58)&lt;&gt;1,"Duplicate SKU",IF(OR(B58="",NOT(ISNUMBER(D58)),NOT(ISNUMBER(E58)),NOT(ISNUMBER(F58)),D58&lt;0,E58&lt;0,F58&lt;0),"Check inputs","OK")))</x:f>
      </x:c>
    </x:row>
    <x:row r="59" ht="27" customHeight="1">
      <x:c r="A59" s="29"/>
      <x:c r="B59" s="29"/>
      <x:c r="C59" s="29"/>
      <x:c r="D59" s="29"/>
      <x:c r="E59" s="30"/>
      <x:c r="F59" s="29"/>
      <x:c r="G59" s="27" t="str">
        <x:f>IF(A59="","",IF(COUNTIFS($A$6:$A$105,A59)&lt;&gt;1,"Duplicate SKU",IF(OR(B59="",NOT(ISNUMBER(D59)),NOT(ISNUMBER(E59)),NOT(ISNUMBER(F59)),D59&lt;0,E59&lt;0,F59&lt;0),"Check inputs","OK")))</x:f>
      </x:c>
    </x:row>
    <x:row r="60" ht="27" customHeight="1">
      <x:c r="A60" s="29"/>
      <x:c r="B60" s="29"/>
      <x:c r="C60" s="29"/>
      <x:c r="D60" s="29"/>
      <x:c r="E60" s="30"/>
      <x:c r="F60" s="29"/>
      <x:c r="G60" s="25" t="str">
        <x:f>IF(A60="","",IF(COUNTIFS($A$6:$A$105,A60)&lt;&gt;1,"Duplicate SKU",IF(OR(B60="",NOT(ISNUMBER(D60)),NOT(ISNUMBER(E60)),NOT(ISNUMBER(F60)),D60&lt;0,E60&lt;0,F60&lt;0),"Check inputs","OK")))</x:f>
      </x:c>
    </x:row>
    <x:row r="61" ht="27" customHeight="1">
      <x:c r="A61" s="29"/>
      <x:c r="B61" s="29"/>
      <x:c r="C61" s="29"/>
      <x:c r="D61" s="29"/>
      <x:c r="E61" s="30"/>
      <x:c r="F61" s="29"/>
      <x:c r="G61" s="27" t="str">
        <x:f>IF(A61="","",IF(COUNTIFS($A$6:$A$105,A61)&lt;&gt;1,"Duplicate SKU",IF(OR(B61="",NOT(ISNUMBER(D61)),NOT(ISNUMBER(E61)),NOT(ISNUMBER(F61)),D61&lt;0,E61&lt;0,F61&lt;0),"Check inputs","OK")))</x:f>
      </x:c>
    </x:row>
    <x:row r="62" ht="27" customHeight="1">
      <x:c r="A62" s="29"/>
      <x:c r="B62" s="29"/>
      <x:c r="C62" s="29"/>
      <x:c r="D62" s="29"/>
      <x:c r="E62" s="30"/>
      <x:c r="F62" s="29"/>
      <x:c r="G62" s="25" t="str">
        <x:f>IF(A62="","",IF(COUNTIFS($A$6:$A$105,A62)&lt;&gt;1,"Duplicate SKU",IF(OR(B62="",NOT(ISNUMBER(D62)),NOT(ISNUMBER(E62)),NOT(ISNUMBER(F62)),D62&lt;0,E62&lt;0,F62&lt;0),"Check inputs","OK")))</x:f>
      </x:c>
    </x:row>
    <x:row r="63" ht="27" customHeight="1">
      <x:c r="A63" s="29"/>
      <x:c r="B63" s="29"/>
      <x:c r="C63" s="29"/>
      <x:c r="D63" s="29"/>
      <x:c r="E63" s="30"/>
      <x:c r="F63" s="29"/>
      <x:c r="G63" s="27" t="str">
        <x:f>IF(A63="","",IF(COUNTIFS($A$6:$A$105,A63)&lt;&gt;1,"Duplicate SKU",IF(OR(B63="",NOT(ISNUMBER(D63)),NOT(ISNUMBER(E63)),NOT(ISNUMBER(F63)),D63&lt;0,E63&lt;0,F63&lt;0),"Check inputs","OK")))</x:f>
      </x:c>
    </x:row>
    <x:row r="64" ht="27" customHeight="1">
      <x:c r="A64" s="29"/>
      <x:c r="B64" s="29"/>
      <x:c r="C64" s="29"/>
      <x:c r="D64" s="29"/>
      <x:c r="E64" s="30"/>
      <x:c r="F64" s="29"/>
      <x:c r="G64" s="25" t="str">
        <x:f>IF(A64="","",IF(COUNTIFS($A$6:$A$105,A64)&lt;&gt;1,"Duplicate SKU",IF(OR(B64="",NOT(ISNUMBER(D64)),NOT(ISNUMBER(E64)),NOT(ISNUMBER(F64)),D64&lt;0,E64&lt;0,F64&lt;0),"Check inputs","OK")))</x:f>
      </x:c>
    </x:row>
    <x:row r="65" ht="27" customHeight="1">
      <x:c r="A65" s="29"/>
      <x:c r="B65" s="29"/>
      <x:c r="C65" s="29"/>
      <x:c r="D65" s="29"/>
      <x:c r="E65" s="30"/>
      <x:c r="F65" s="29"/>
      <x:c r="G65" s="27" t="str">
        <x:f>IF(A65="","",IF(COUNTIFS($A$6:$A$105,A65)&lt;&gt;1,"Duplicate SKU",IF(OR(B65="",NOT(ISNUMBER(D65)),NOT(ISNUMBER(E65)),NOT(ISNUMBER(F65)),D65&lt;0,E65&lt;0,F65&lt;0),"Check inputs","OK")))</x:f>
      </x:c>
    </x:row>
    <x:row r="66" ht="27" customHeight="1">
      <x:c r="A66" s="29"/>
      <x:c r="B66" s="29"/>
      <x:c r="C66" s="29"/>
      <x:c r="D66" s="29"/>
      <x:c r="E66" s="30"/>
      <x:c r="F66" s="29"/>
      <x:c r="G66" s="25" t="str">
        <x:f>IF(A66="","",IF(COUNTIFS($A$6:$A$105,A66)&lt;&gt;1,"Duplicate SKU",IF(OR(B66="",NOT(ISNUMBER(D66)),NOT(ISNUMBER(E66)),NOT(ISNUMBER(F66)),D66&lt;0,E66&lt;0,F66&lt;0),"Check inputs","OK")))</x:f>
      </x:c>
    </x:row>
    <x:row r="67" ht="27" customHeight="1">
      <x:c r="A67" s="29"/>
      <x:c r="B67" s="29"/>
      <x:c r="C67" s="29"/>
      <x:c r="D67" s="29"/>
      <x:c r="E67" s="30"/>
      <x:c r="F67" s="29"/>
      <x:c r="G67" s="27" t="str">
        <x:f>IF(A67="","",IF(COUNTIFS($A$6:$A$105,A67)&lt;&gt;1,"Duplicate SKU",IF(OR(B67="",NOT(ISNUMBER(D67)),NOT(ISNUMBER(E67)),NOT(ISNUMBER(F67)),D67&lt;0,E67&lt;0,F67&lt;0),"Check inputs","OK")))</x:f>
      </x:c>
    </x:row>
    <x:row r="68" ht="27" customHeight="1">
      <x:c r="A68" s="29"/>
      <x:c r="B68" s="29"/>
      <x:c r="C68" s="29"/>
      <x:c r="D68" s="29"/>
      <x:c r="E68" s="30"/>
      <x:c r="F68" s="29"/>
      <x:c r="G68" s="25" t="str">
        <x:f>IF(A68="","",IF(COUNTIFS($A$6:$A$105,A68)&lt;&gt;1,"Duplicate SKU",IF(OR(B68="",NOT(ISNUMBER(D68)),NOT(ISNUMBER(E68)),NOT(ISNUMBER(F68)),D68&lt;0,E68&lt;0,F68&lt;0),"Check inputs","OK")))</x:f>
      </x:c>
    </x:row>
    <x:row r="69" ht="27" customHeight="1">
      <x:c r="A69" s="29"/>
      <x:c r="B69" s="29"/>
      <x:c r="C69" s="29"/>
      <x:c r="D69" s="29"/>
      <x:c r="E69" s="30"/>
      <x:c r="F69" s="29"/>
      <x:c r="G69" s="27" t="str">
        <x:f>IF(A69="","",IF(COUNTIFS($A$6:$A$105,A69)&lt;&gt;1,"Duplicate SKU",IF(OR(B69="",NOT(ISNUMBER(D69)),NOT(ISNUMBER(E69)),NOT(ISNUMBER(F69)),D69&lt;0,E69&lt;0,F69&lt;0),"Check inputs","OK")))</x:f>
      </x:c>
    </x:row>
    <x:row r="70" ht="27" customHeight="1">
      <x:c r="A70" s="29"/>
      <x:c r="B70" s="29"/>
      <x:c r="C70" s="29"/>
      <x:c r="D70" s="29"/>
      <x:c r="E70" s="30"/>
      <x:c r="F70" s="29"/>
      <x:c r="G70" s="25" t="str">
        <x:f>IF(A70="","",IF(COUNTIFS($A$6:$A$105,A70)&lt;&gt;1,"Duplicate SKU",IF(OR(B70="",NOT(ISNUMBER(D70)),NOT(ISNUMBER(E70)),NOT(ISNUMBER(F70)),D70&lt;0,E70&lt;0,F70&lt;0),"Check inputs","OK")))</x:f>
      </x:c>
    </x:row>
    <x:row r="71" ht="27" customHeight="1">
      <x:c r="A71" s="29"/>
      <x:c r="B71" s="29"/>
      <x:c r="C71" s="29"/>
      <x:c r="D71" s="29"/>
      <x:c r="E71" s="30"/>
      <x:c r="F71" s="29"/>
      <x:c r="G71" s="27" t="str">
        <x:f>IF(A71="","",IF(COUNTIFS($A$6:$A$105,A71)&lt;&gt;1,"Duplicate SKU",IF(OR(B71="",NOT(ISNUMBER(D71)),NOT(ISNUMBER(E71)),NOT(ISNUMBER(F71)),D71&lt;0,E71&lt;0,F71&lt;0),"Check inputs","OK")))</x:f>
      </x:c>
    </x:row>
    <x:row r="72" ht="27" customHeight="1">
      <x:c r="A72" s="29"/>
      <x:c r="B72" s="29"/>
      <x:c r="C72" s="29"/>
      <x:c r="D72" s="29"/>
      <x:c r="E72" s="30"/>
      <x:c r="F72" s="29"/>
      <x:c r="G72" s="25" t="str">
        <x:f>IF(A72="","",IF(COUNTIFS($A$6:$A$105,A72)&lt;&gt;1,"Duplicate SKU",IF(OR(B72="",NOT(ISNUMBER(D72)),NOT(ISNUMBER(E72)),NOT(ISNUMBER(F72)),D72&lt;0,E72&lt;0,F72&lt;0),"Check inputs","OK")))</x:f>
      </x:c>
    </x:row>
    <x:row r="73" ht="27" customHeight="1">
      <x:c r="A73" s="29"/>
      <x:c r="B73" s="29"/>
      <x:c r="C73" s="29"/>
      <x:c r="D73" s="29"/>
      <x:c r="E73" s="30"/>
      <x:c r="F73" s="29"/>
      <x:c r="G73" s="27" t="str">
        <x:f>IF(A73="","",IF(COUNTIFS($A$6:$A$105,A73)&lt;&gt;1,"Duplicate SKU",IF(OR(B73="",NOT(ISNUMBER(D73)),NOT(ISNUMBER(E73)),NOT(ISNUMBER(F73)),D73&lt;0,E73&lt;0,F73&lt;0),"Check inputs","OK")))</x:f>
      </x:c>
    </x:row>
    <x:row r="74" ht="27" customHeight="1">
      <x:c r="A74" s="29"/>
      <x:c r="B74" s="29"/>
      <x:c r="C74" s="29"/>
      <x:c r="D74" s="29"/>
      <x:c r="E74" s="30"/>
      <x:c r="F74" s="29"/>
      <x:c r="G74" s="25" t="str">
        <x:f>IF(A74="","",IF(COUNTIFS($A$6:$A$105,A74)&lt;&gt;1,"Duplicate SKU",IF(OR(B74="",NOT(ISNUMBER(D74)),NOT(ISNUMBER(E74)),NOT(ISNUMBER(F74)),D74&lt;0,E74&lt;0,F74&lt;0),"Check inputs","OK")))</x:f>
      </x:c>
    </x:row>
    <x:row r="75" ht="27" customHeight="1">
      <x:c r="A75" s="29"/>
      <x:c r="B75" s="29"/>
      <x:c r="C75" s="29"/>
      <x:c r="D75" s="29"/>
      <x:c r="E75" s="30"/>
      <x:c r="F75" s="29"/>
      <x:c r="G75" s="27" t="str">
        <x:f>IF(A75="","",IF(COUNTIFS($A$6:$A$105,A75)&lt;&gt;1,"Duplicate SKU",IF(OR(B75="",NOT(ISNUMBER(D75)),NOT(ISNUMBER(E75)),NOT(ISNUMBER(F75)),D75&lt;0,E75&lt;0,F75&lt;0),"Check inputs","OK")))</x:f>
      </x:c>
    </x:row>
    <x:row r="76" ht="27" customHeight="1">
      <x:c r="A76" s="29"/>
      <x:c r="B76" s="29"/>
      <x:c r="C76" s="29"/>
      <x:c r="D76" s="29"/>
      <x:c r="E76" s="30"/>
      <x:c r="F76" s="29"/>
      <x:c r="G76" s="25" t="str">
        <x:f>IF(A76="","",IF(COUNTIFS($A$6:$A$105,A76)&lt;&gt;1,"Duplicate SKU",IF(OR(B76="",NOT(ISNUMBER(D76)),NOT(ISNUMBER(E76)),NOT(ISNUMBER(F76)),D76&lt;0,E76&lt;0,F76&lt;0),"Check inputs","OK")))</x:f>
      </x:c>
    </x:row>
    <x:row r="77" ht="27" customHeight="1">
      <x:c r="A77" s="29"/>
      <x:c r="B77" s="29"/>
      <x:c r="C77" s="29"/>
      <x:c r="D77" s="29"/>
      <x:c r="E77" s="30"/>
      <x:c r="F77" s="29"/>
      <x:c r="G77" s="27" t="str">
        <x:f>IF(A77="","",IF(COUNTIFS($A$6:$A$105,A77)&lt;&gt;1,"Duplicate SKU",IF(OR(B77="",NOT(ISNUMBER(D77)),NOT(ISNUMBER(E77)),NOT(ISNUMBER(F77)),D77&lt;0,E77&lt;0,F77&lt;0),"Check inputs","OK")))</x:f>
      </x:c>
    </x:row>
    <x:row r="78" ht="27" customHeight="1">
      <x:c r="A78" s="29"/>
      <x:c r="B78" s="29"/>
      <x:c r="C78" s="29"/>
      <x:c r="D78" s="29"/>
      <x:c r="E78" s="30"/>
      <x:c r="F78" s="29"/>
      <x:c r="G78" s="25" t="str">
        <x:f>IF(A78="","",IF(COUNTIFS($A$6:$A$105,A78)&lt;&gt;1,"Duplicate SKU",IF(OR(B78="",NOT(ISNUMBER(D78)),NOT(ISNUMBER(E78)),NOT(ISNUMBER(F78)),D78&lt;0,E78&lt;0,F78&lt;0),"Check inputs","OK")))</x:f>
      </x:c>
    </x:row>
    <x:row r="79" ht="27" customHeight="1">
      <x:c r="A79" s="29"/>
      <x:c r="B79" s="29"/>
      <x:c r="C79" s="29"/>
      <x:c r="D79" s="29"/>
      <x:c r="E79" s="30"/>
      <x:c r="F79" s="29"/>
      <x:c r="G79" s="27" t="str">
        <x:f>IF(A79="","",IF(COUNTIFS($A$6:$A$105,A79)&lt;&gt;1,"Duplicate SKU",IF(OR(B79="",NOT(ISNUMBER(D79)),NOT(ISNUMBER(E79)),NOT(ISNUMBER(F79)),D79&lt;0,E79&lt;0,F79&lt;0),"Check inputs","OK")))</x:f>
      </x:c>
    </x:row>
    <x:row r="80" ht="27" customHeight="1">
      <x:c r="A80" s="29"/>
      <x:c r="B80" s="29"/>
      <x:c r="C80" s="29"/>
      <x:c r="D80" s="29"/>
      <x:c r="E80" s="30"/>
      <x:c r="F80" s="29"/>
      <x:c r="G80" s="25" t="str">
        <x:f>IF(A80="","",IF(COUNTIFS($A$6:$A$105,A80)&lt;&gt;1,"Duplicate SKU",IF(OR(B80="",NOT(ISNUMBER(D80)),NOT(ISNUMBER(E80)),NOT(ISNUMBER(F80)),D80&lt;0,E80&lt;0,F80&lt;0),"Check inputs","OK")))</x:f>
      </x:c>
    </x:row>
    <x:row r="81" ht="27" customHeight="1">
      <x:c r="A81" s="29"/>
      <x:c r="B81" s="29"/>
      <x:c r="C81" s="29"/>
      <x:c r="D81" s="29"/>
      <x:c r="E81" s="30"/>
      <x:c r="F81" s="29"/>
      <x:c r="G81" s="27" t="str">
        <x:f>IF(A81="","",IF(COUNTIFS($A$6:$A$105,A81)&lt;&gt;1,"Duplicate SKU",IF(OR(B81="",NOT(ISNUMBER(D81)),NOT(ISNUMBER(E81)),NOT(ISNUMBER(F81)),D81&lt;0,E81&lt;0,F81&lt;0),"Check inputs","OK")))</x:f>
      </x:c>
    </x:row>
    <x:row r="82" ht="27" customHeight="1">
      <x:c r="A82" s="29"/>
      <x:c r="B82" s="29"/>
      <x:c r="C82" s="29"/>
      <x:c r="D82" s="29"/>
      <x:c r="E82" s="30"/>
      <x:c r="F82" s="29"/>
      <x:c r="G82" s="25" t="str">
        <x:f>IF(A82="","",IF(COUNTIFS($A$6:$A$105,A82)&lt;&gt;1,"Duplicate SKU",IF(OR(B82="",NOT(ISNUMBER(D82)),NOT(ISNUMBER(E82)),NOT(ISNUMBER(F82)),D82&lt;0,E82&lt;0,F82&lt;0),"Check inputs","OK")))</x:f>
      </x:c>
    </x:row>
    <x:row r="83" ht="27" customHeight="1">
      <x:c r="A83" s="29"/>
      <x:c r="B83" s="29"/>
      <x:c r="C83" s="29"/>
      <x:c r="D83" s="29"/>
      <x:c r="E83" s="30"/>
      <x:c r="F83" s="29"/>
      <x:c r="G83" s="27" t="str">
        <x:f>IF(A83="","",IF(COUNTIFS($A$6:$A$105,A83)&lt;&gt;1,"Duplicate SKU",IF(OR(B83="",NOT(ISNUMBER(D83)),NOT(ISNUMBER(E83)),NOT(ISNUMBER(F83)),D83&lt;0,E83&lt;0,F83&lt;0),"Check inputs","OK")))</x:f>
      </x:c>
    </x:row>
    <x:row r="84" ht="27" customHeight="1">
      <x:c r="A84" s="29"/>
      <x:c r="B84" s="29"/>
      <x:c r="C84" s="29"/>
      <x:c r="D84" s="29"/>
      <x:c r="E84" s="30"/>
      <x:c r="F84" s="29"/>
      <x:c r="G84" s="25" t="str">
        <x:f>IF(A84="","",IF(COUNTIFS($A$6:$A$105,A84)&lt;&gt;1,"Duplicate SKU",IF(OR(B84="",NOT(ISNUMBER(D84)),NOT(ISNUMBER(E84)),NOT(ISNUMBER(F84)),D84&lt;0,E84&lt;0,F84&lt;0),"Check inputs","OK")))</x:f>
      </x:c>
    </x:row>
    <x:row r="85" ht="27" customHeight="1">
      <x:c r="A85" s="29"/>
      <x:c r="B85" s="29"/>
      <x:c r="C85" s="29"/>
      <x:c r="D85" s="29"/>
      <x:c r="E85" s="30"/>
      <x:c r="F85" s="29"/>
      <x:c r="G85" s="27" t="str">
        <x:f>IF(A85="","",IF(COUNTIFS($A$6:$A$105,A85)&lt;&gt;1,"Duplicate SKU",IF(OR(B85="",NOT(ISNUMBER(D85)),NOT(ISNUMBER(E85)),NOT(ISNUMBER(F85)),D85&lt;0,E85&lt;0,F85&lt;0),"Check inputs","OK")))</x:f>
      </x:c>
    </x:row>
    <x:row r="86" ht="27" customHeight="1">
      <x:c r="A86" s="29"/>
      <x:c r="B86" s="29"/>
      <x:c r="C86" s="29"/>
      <x:c r="D86" s="29"/>
      <x:c r="E86" s="30"/>
      <x:c r="F86" s="29"/>
      <x:c r="G86" s="25" t="str">
        <x:f>IF(A86="","",IF(COUNTIFS($A$6:$A$105,A86)&lt;&gt;1,"Duplicate SKU",IF(OR(B86="",NOT(ISNUMBER(D86)),NOT(ISNUMBER(E86)),NOT(ISNUMBER(F86)),D86&lt;0,E86&lt;0,F86&lt;0),"Check inputs","OK")))</x:f>
      </x:c>
    </x:row>
    <x:row r="87" ht="27" customHeight="1">
      <x:c r="A87" s="29"/>
      <x:c r="B87" s="29"/>
      <x:c r="C87" s="29"/>
      <x:c r="D87" s="29"/>
      <x:c r="E87" s="30"/>
      <x:c r="F87" s="29"/>
      <x:c r="G87" s="27" t="str">
        <x:f>IF(A87="","",IF(COUNTIFS($A$6:$A$105,A87)&lt;&gt;1,"Duplicate SKU",IF(OR(B87="",NOT(ISNUMBER(D87)),NOT(ISNUMBER(E87)),NOT(ISNUMBER(F87)),D87&lt;0,E87&lt;0,F87&lt;0),"Check inputs","OK")))</x:f>
      </x:c>
    </x:row>
    <x:row r="88" ht="27" customHeight="1">
      <x:c r="A88" s="29"/>
      <x:c r="B88" s="29"/>
      <x:c r="C88" s="29"/>
      <x:c r="D88" s="29"/>
      <x:c r="E88" s="30"/>
      <x:c r="F88" s="29"/>
      <x:c r="G88" s="25" t="str">
        <x:f>IF(A88="","",IF(COUNTIFS($A$6:$A$105,A88)&lt;&gt;1,"Duplicate SKU",IF(OR(B88="",NOT(ISNUMBER(D88)),NOT(ISNUMBER(E88)),NOT(ISNUMBER(F88)),D88&lt;0,E88&lt;0,F88&lt;0),"Check inputs","OK")))</x:f>
      </x:c>
    </x:row>
    <x:row r="89" ht="27" customHeight="1">
      <x:c r="A89" s="29"/>
      <x:c r="B89" s="29"/>
      <x:c r="C89" s="29"/>
      <x:c r="D89" s="29"/>
      <x:c r="E89" s="30"/>
      <x:c r="F89" s="29"/>
      <x:c r="G89" s="27" t="str">
        <x:f>IF(A89="","",IF(COUNTIFS($A$6:$A$105,A89)&lt;&gt;1,"Duplicate SKU",IF(OR(B89="",NOT(ISNUMBER(D89)),NOT(ISNUMBER(E89)),NOT(ISNUMBER(F89)),D89&lt;0,E89&lt;0,F89&lt;0),"Check inputs","OK")))</x:f>
      </x:c>
    </x:row>
    <x:row r="90" ht="27" customHeight="1">
      <x:c r="A90" s="29"/>
      <x:c r="B90" s="29"/>
      <x:c r="C90" s="29"/>
      <x:c r="D90" s="29"/>
      <x:c r="E90" s="30"/>
      <x:c r="F90" s="29"/>
      <x:c r="G90" s="25" t="str">
        <x:f>IF(A90="","",IF(COUNTIFS($A$6:$A$105,A90)&lt;&gt;1,"Duplicate SKU",IF(OR(B90="",NOT(ISNUMBER(D90)),NOT(ISNUMBER(E90)),NOT(ISNUMBER(F90)),D90&lt;0,E90&lt;0,F90&lt;0),"Check inputs","OK")))</x:f>
      </x:c>
    </x:row>
    <x:row r="91" ht="27" customHeight="1">
      <x:c r="A91" s="29"/>
      <x:c r="B91" s="29"/>
      <x:c r="C91" s="29"/>
      <x:c r="D91" s="29"/>
      <x:c r="E91" s="30"/>
      <x:c r="F91" s="29"/>
      <x:c r="G91" s="27" t="str">
        <x:f>IF(A91="","",IF(COUNTIFS($A$6:$A$105,A91)&lt;&gt;1,"Duplicate SKU",IF(OR(B91="",NOT(ISNUMBER(D91)),NOT(ISNUMBER(E91)),NOT(ISNUMBER(F91)),D91&lt;0,E91&lt;0,F91&lt;0),"Check inputs","OK")))</x:f>
      </x:c>
    </x:row>
    <x:row r="92" ht="27" customHeight="1">
      <x:c r="A92" s="29"/>
      <x:c r="B92" s="29"/>
      <x:c r="C92" s="29"/>
      <x:c r="D92" s="29"/>
      <x:c r="E92" s="30"/>
      <x:c r="F92" s="29"/>
      <x:c r="G92" s="25" t="str">
        <x:f>IF(A92="","",IF(COUNTIFS($A$6:$A$105,A92)&lt;&gt;1,"Duplicate SKU",IF(OR(B92="",NOT(ISNUMBER(D92)),NOT(ISNUMBER(E92)),NOT(ISNUMBER(F92)),D92&lt;0,E92&lt;0,F92&lt;0),"Check inputs","OK")))</x:f>
      </x:c>
    </x:row>
    <x:row r="93" ht="27" customHeight="1">
      <x:c r="A93" s="29"/>
      <x:c r="B93" s="29"/>
      <x:c r="C93" s="29"/>
      <x:c r="D93" s="29"/>
      <x:c r="E93" s="30"/>
      <x:c r="F93" s="29"/>
      <x:c r="G93" s="27" t="str">
        <x:f>IF(A93="","",IF(COUNTIFS($A$6:$A$105,A93)&lt;&gt;1,"Duplicate SKU",IF(OR(B93="",NOT(ISNUMBER(D93)),NOT(ISNUMBER(E93)),NOT(ISNUMBER(F93)),D93&lt;0,E93&lt;0,F93&lt;0),"Check inputs","OK")))</x:f>
      </x:c>
    </x:row>
    <x:row r="94" ht="27" customHeight="1">
      <x:c r="A94" s="29"/>
      <x:c r="B94" s="29"/>
      <x:c r="C94" s="29"/>
      <x:c r="D94" s="29"/>
      <x:c r="E94" s="30"/>
      <x:c r="F94" s="29"/>
      <x:c r="G94" s="25" t="str">
        <x:f>IF(A94="","",IF(COUNTIFS($A$6:$A$105,A94)&lt;&gt;1,"Duplicate SKU",IF(OR(B94="",NOT(ISNUMBER(D94)),NOT(ISNUMBER(E94)),NOT(ISNUMBER(F94)),D94&lt;0,E94&lt;0,F94&lt;0),"Check inputs","OK")))</x:f>
      </x:c>
    </x:row>
    <x:row r="95" ht="27" customHeight="1">
      <x:c r="A95" s="29"/>
      <x:c r="B95" s="29"/>
      <x:c r="C95" s="29"/>
      <x:c r="D95" s="29"/>
      <x:c r="E95" s="30"/>
      <x:c r="F95" s="29"/>
      <x:c r="G95" s="27" t="str">
        <x:f>IF(A95="","",IF(COUNTIFS($A$6:$A$105,A95)&lt;&gt;1,"Duplicate SKU",IF(OR(B95="",NOT(ISNUMBER(D95)),NOT(ISNUMBER(E95)),NOT(ISNUMBER(F95)),D95&lt;0,E95&lt;0,F95&lt;0),"Check inputs","OK")))</x:f>
      </x:c>
    </x:row>
    <x:row r="96" ht="27" customHeight="1">
      <x:c r="A96" s="29"/>
      <x:c r="B96" s="29"/>
      <x:c r="C96" s="29"/>
      <x:c r="D96" s="29"/>
      <x:c r="E96" s="30"/>
      <x:c r="F96" s="29"/>
      <x:c r="G96" s="25" t="str">
        <x:f>IF(A96="","",IF(COUNTIFS($A$6:$A$105,A96)&lt;&gt;1,"Duplicate SKU",IF(OR(B96="",NOT(ISNUMBER(D96)),NOT(ISNUMBER(E96)),NOT(ISNUMBER(F96)),D96&lt;0,E96&lt;0,F96&lt;0),"Check inputs","OK")))</x:f>
      </x:c>
    </x:row>
    <x:row r="97" ht="27" customHeight="1">
      <x:c r="A97" s="29"/>
      <x:c r="B97" s="29"/>
      <x:c r="C97" s="29"/>
      <x:c r="D97" s="29"/>
      <x:c r="E97" s="30"/>
      <x:c r="F97" s="29"/>
      <x:c r="G97" s="27" t="str">
        <x:f>IF(A97="","",IF(COUNTIFS($A$6:$A$105,A97)&lt;&gt;1,"Duplicate SKU",IF(OR(B97="",NOT(ISNUMBER(D97)),NOT(ISNUMBER(E97)),NOT(ISNUMBER(F97)),D97&lt;0,E97&lt;0,F97&lt;0),"Check inputs","OK")))</x:f>
      </x:c>
    </x:row>
    <x:row r="98" ht="27" customHeight="1">
      <x:c r="A98" s="29"/>
      <x:c r="B98" s="29"/>
      <x:c r="C98" s="29"/>
      <x:c r="D98" s="29"/>
      <x:c r="E98" s="30"/>
      <x:c r="F98" s="29"/>
      <x:c r="G98" s="25" t="str">
        <x:f>IF(A98="","",IF(COUNTIFS($A$6:$A$105,A98)&lt;&gt;1,"Duplicate SKU",IF(OR(B98="",NOT(ISNUMBER(D98)),NOT(ISNUMBER(E98)),NOT(ISNUMBER(F98)),D98&lt;0,E98&lt;0,F98&lt;0),"Check inputs","OK")))</x:f>
      </x:c>
    </x:row>
    <x:row r="99" ht="27" customHeight="1">
      <x:c r="A99" s="29"/>
      <x:c r="B99" s="29"/>
      <x:c r="C99" s="29"/>
      <x:c r="D99" s="29"/>
      <x:c r="E99" s="30"/>
      <x:c r="F99" s="29"/>
      <x:c r="G99" s="27" t="str">
        <x:f>IF(A99="","",IF(COUNTIFS($A$6:$A$105,A99)&lt;&gt;1,"Duplicate SKU",IF(OR(B99="",NOT(ISNUMBER(D99)),NOT(ISNUMBER(E99)),NOT(ISNUMBER(F99)),D99&lt;0,E99&lt;0,F99&lt;0),"Check inputs","OK")))</x:f>
      </x:c>
    </x:row>
    <x:row r="100" ht="27" customHeight="1">
      <x:c r="A100" s="29"/>
      <x:c r="B100" s="29"/>
      <x:c r="C100" s="29"/>
      <x:c r="D100" s="29"/>
      <x:c r="E100" s="30"/>
      <x:c r="F100" s="29"/>
      <x:c r="G100" s="25" t="str">
        <x:f>IF(A100="","",IF(COUNTIFS($A$6:$A$105,A100)&lt;&gt;1,"Duplicate SKU",IF(OR(B100="",NOT(ISNUMBER(D100)),NOT(ISNUMBER(E100)),NOT(ISNUMBER(F100)),D100&lt;0,E100&lt;0,F100&lt;0),"Check inputs","OK")))</x:f>
      </x:c>
    </x:row>
    <x:row r="101" ht="27" customHeight="1">
      <x:c r="A101" s="29"/>
      <x:c r="B101" s="29"/>
      <x:c r="C101" s="29"/>
      <x:c r="D101" s="29"/>
      <x:c r="E101" s="30"/>
      <x:c r="F101" s="29"/>
      <x:c r="G101" s="27" t="str">
        <x:f>IF(A101="","",IF(COUNTIFS($A$6:$A$105,A101)&lt;&gt;1,"Duplicate SKU",IF(OR(B101="",NOT(ISNUMBER(D101)),NOT(ISNUMBER(E101)),NOT(ISNUMBER(F101)),D101&lt;0,E101&lt;0,F101&lt;0),"Check inputs","OK")))</x:f>
      </x:c>
    </x:row>
    <x:row r="102" ht="27" customHeight="1">
      <x:c r="A102" s="29"/>
      <x:c r="B102" s="29"/>
      <x:c r="C102" s="29"/>
      <x:c r="D102" s="29"/>
      <x:c r="E102" s="30"/>
      <x:c r="F102" s="29"/>
      <x:c r="G102" s="25" t="str">
        <x:f>IF(A102="","",IF(COUNTIFS($A$6:$A$105,A102)&lt;&gt;1,"Duplicate SKU",IF(OR(B102="",NOT(ISNUMBER(D102)),NOT(ISNUMBER(E102)),NOT(ISNUMBER(F102)),D102&lt;0,E102&lt;0,F102&lt;0),"Check inputs","OK")))</x:f>
      </x:c>
    </x:row>
    <x:row r="103" ht="27" customHeight="1">
      <x:c r="A103" s="29"/>
      <x:c r="B103" s="29"/>
      <x:c r="C103" s="29"/>
      <x:c r="D103" s="29"/>
      <x:c r="E103" s="30"/>
      <x:c r="F103" s="29"/>
      <x:c r="G103" s="27" t="str">
        <x:f>IF(A103="","",IF(COUNTIFS($A$6:$A$105,A103)&lt;&gt;1,"Duplicate SKU",IF(OR(B103="",NOT(ISNUMBER(D103)),NOT(ISNUMBER(E103)),NOT(ISNUMBER(F103)),D103&lt;0,E103&lt;0,F103&lt;0),"Check inputs","OK")))</x:f>
      </x:c>
    </x:row>
    <x:row r="104" ht="27" customHeight="1">
      <x:c r="A104" s="29"/>
      <x:c r="B104" s="29"/>
      <x:c r="C104" s="29"/>
      <x:c r="D104" s="29"/>
      <x:c r="E104" s="30"/>
      <x:c r="F104" s="29"/>
      <x:c r="G104" s="25" t="str">
        <x:f>IF(A104="","",IF(COUNTIFS($A$6:$A$105,A104)&lt;&gt;1,"Duplicate SKU",IF(OR(B104="",NOT(ISNUMBER(D104)),NOT(ISNUMBER(E104)),NOT(ISNUMBER(F104)),D104&lt;0,E104&lt;0,F104&lt;0),"Check inputs","OK")))</x:f>
      </x:c>
    </x:row>
    <x:row r="105" ht="27" customHeight="1">
      <x:c r="A105" s="29"/>
      <x:c r="B105" s="29"/>
      <x:c r="C105" s="29"/>
      <x:c r="D105" s="29"/>
      <x:c r="E105" s="30"/>
      <x:c r="F105" s="29"/>
      <x:c r="G105" s="27" t="str">
        <x:f>IF(A105="","",IF(COUNTIFS($A$6:$A$105,A105)&lt;&gt;1,"Duplicate SKU",IF(OR(B105="",NOT(ISNUMBER(D105)),NOT(ISNUMBER(E105)),NOT(ISNUMBER(F105)),D105&lt;0,E105&lt;0,F105&lt;0),"Check inputs","OK")))</x:f>
      </x:c>
    </x:row>
    <x:row r="106" ht="23" customHeight="1">
      <x:c r="A106" s="1"/>
      <x:c r="B106" s="1"/>
      <x:c r="C106" s="1"/>
      <x:c r="D106" s="1"/>
      <x:c r="E106" s="1"/>
      <x:c r="F106" s="1"/>
      <x:c r="G106" s="1"/>
    </x:row>
    <x:row r="107" ht="23" customHeight="1">
      <x:c r="A107" s="1"/>
      <x:c r="B107" s="1"/>
      <x:c r="C107" s="1"/>
      <x:c r="D107" s="1"/>
      <x:c r="E107" s="1"/>
      <x:c r="F107" s="1"/>
      <x:c r="G107" s="1"/>
    </x:row>
    <x:row r="108" ht="23" customHeight="1">
      <x:c r="A108" s="1"/>
      <x:c r="B108" s="1"/>
      <x:c r="C108" s="1"/>
      <x:c r="D108" s="1"/>
      <x:c r="E108" s="1"/>
      <x:c r="F108" s="1"/>
      <x:c r="G108" s="1"/>
    </x:row>
    <x:row r="109" ht="23" customHeight="1">
      <x:c r="A109" s="1"/>
      <x:c r="B109" s="1"/>
      <x:c r="C109" s="1"/>
      <x:c r="D109" s="1"/>
      <x:c r="E109" s="1"/>
      <x:c r="F109" s="1"/>
      <x:c r="G109" s="1"/>
    </x:row>
    <x:row r="110" ht="23" customHeight="1">
      <x:c r="A110" s="1"/>
      <x:c r="B110" s="1"/>
      <x:c r="C110" s="1"/>
      <x:c r="D110" s="1"/>
      <x:c r="E110" s="1"/>
      <x:c r="F110" s="1"/>
      <x:c r="G110" s="1"/>
    </x:row>
  </x:sheetData>
  <x:conditionalFormatting sqref="G6:G105">
    <x:cfRule type="containsText" dxfId="2" priority="1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09f376fefabb46c4"/>
  </x:tableParts>
</x:worksheet>
</file>

<file path=xl/worksheets/sheet4.xml><?xml version="1.0" encoding="utf-8"?>
<x:worksheet xmlns:x="http://schemas.openxmlformats.org/spreadsheetml/2006/main">
  <x:sheetPr>
    <x:tabColor rgb="FF7050E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7" hidden="0" customWidth="1"/>
    <x:col min="10" max="10" width="24" hidden="0" customWidth="1"/>
    <x:col min="11" max="11" width="17" hidden="0" customWidth="1"/>
    <x:col min="12" max="12" width="17" hidden="0" customWidth="1"/>
  </x:cols>
  <x:sheetData>
    <x:row r="1" ht="23" customHeight="1">
      <x:c r="A1" s="130"/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23" customHeight="1">
      <x:c r="A2" s="131" t="str">
        <x:v>Sales and stock transactions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 ht="23" customHeight="1">
      <x:c r="A3" s="132" t="str">
        <x:v>Enter positive units for Sale/Purchase. Adjustment units may be signed. Sale cost is entered per transaction.</x:v>
      </x:c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</x:row>
    <x:row r="4" ht="23" customHeight="1">
      <x:c r="A4" s="130"/>
      <x:c r="B4" s="130"/>
      <x:c r="C4" s="130"/>
      <x:c r="D4" s="130"/>
      <x:c r="E4" s="130"/>
      <x:c r="F4" s="130"/>
      <x:c r="G4" s="130"/>
      <x:c r="H4" s="130"/>
      <x:c r="I4" s="130"/>
      <x:c r="J4" s="130"/>
      <x:c r="K4" s="130"/>
      <x:c r="L4" s="130"/>
    </x:row>
    <x:row r="5" ht="34" customHeight="1">
      <x:c r="A5" s="133" t="str">
        <x:v>Date</x:v>
      </x:c>
      <x:c r="B5" s="133" t="str">
        <x:v>Reference</x:v>
      </x:c>
      <x:c r="C5" s="133" t="str">
        <x:v>Type</x:v>
      </x:c>
      <x:c r="D5" s="133" t="str">
        <x:v>SKU</x:v>
      </x:c>
      <x:c r="E5" s="133" t="str">
        <x:v>Units</x:v>
      </x:c>
      <x:c r="F5" s="133" t="str">
        <x:v>Sale unit price</x:v>
      </x:c>
      <x:c r="G5" s="133" t="str">
        <x:v>Discount total</x:v>
      </x:c>
      <x:c r="H5" s="133" t="str">
        <x:v>Unit cost</x:v>
      </x:c>
      <x:c r="I5" s="133" t="str">
        <x:v>Notes</x:v>
      </x:c>
      <x:c r="J5" s="133" t="str">
        <x:v>Check</x:v>
      </x:c>
      <x:c r="K5" s="133" t="str">
        <x:v>Net sales</x:v>
      </x:c>
      <x:c r="L5" s="133" t="str">
        <x:v>Gross profit</x:v>
      </x:c>
    </x:row>
    <x:row r="6" ht="27" customHeight="1">
      <x:c r="A6" s="39" t="n">
        <x:v>46235</x:v>
      </x:c>
      <x:c r="B6" s="29" t="str">
        <x:v>P001</x:v>
      </x:c>
      <x:c r="C6" s="29" t="str">
        <x:v>Purchase</x:v>
      </x:c>
      <x:c r="D6" s="29" t="str">
        <x:v>TS-BLK-M</x:v>
      </x:c>
      <x:c r="E6" s="29" t="n">
        <x:v>10</x:v>
      </x:c>
      <x:c r="F6" s="30" t="n">
        <x:v>0</x:v>
      </x:c>
      <x:c r="G6" s="30" t="n">
        <x:v>0</x:v>
      </x:c>
      <x:c r="H6" s="30" t="n">
        <x:v>300</x:v>
      </x:c>
      <x:c r="I6" s="29" t="str">
        <x:v>Demo purchase</x:v>
      </x:c>
      <x:c r="J6" s="25" t="str">
        <x:f>IF(COUNTA(A6:I6)=0,"",IF(OR(NOT(ISNUMBER(A6)),B6="",AND(C6&lt;&gt;"Sale",C6&lt;&gt;"Purchase",C6&lt;&gt;"Adjustment"),COUNTIFS(Products!$A$6:$A$105,D6)&lt;&gt;1,NOT(ISNUMBER(E6)),E6=0,AND(C6&lt;&gt;"Adjustment",E6&lt;0)),"Check inputs",IF(AND(C6="Sale",OR(NOT(ISNUMBER(F6)),NOT(ISNUMBER(G6)),NOT(ISNUMBER(H6)),F6&lt;0,G6&lt;0,H6&lt;0,G6&gt;E6*F6)),"Check sale amounts","OK")))</x:f>
        <x:v>OK</x:v>
      </x:c>
      <x:c r="K6" s="26" t="n">
        <x:f>IF(J6="","",IF(J6&lt;&gt;"OK","Fix row",IF(C6="Sale",E6*F6-G6,0)))</x:f>
        <x:v>0</x:v>
      </x:c>
      <x:c r="L6" s="26" t="n">
        <x:f>IF(J6="","",IF(J6&lt;&gt;"OK","Fix row",IF(C6="Sale",K6-E6*H6,0)))</x:f>
        <x:v>0</x:v>
      </x:c>
    </x:row>
    <x:row r="7" ht="27" customHeight="1">
      <x:c r="A7" s="39" t="n">
        <x:v>46237</x:v>
      </x:c>
      <x:c r="B7" s="29" t="str">
        <x:v>S001</x:v>
      </x:c>
      <x:c r="C7" s="29" t="str">
        <x:v>Sale</x:v>
      </x:c>
      <x:c r="D7" s="29" t="str">
        <x:v>TS-BLK-M</x:v>
      </x:c>
      <x:c r="E7" s="29" t="n">
        <x:v>4</x:v>
      </x:c>
      <x:c r="F7" s="30" t="n">
        <x:v>650</x:v>
      </x:c>
      <x:c r="G7" s="30" t="n">
        <x:v>100</x:v>
      </x:c>
      <x:c r="H7" s="30" t="n">
        <x:v>300</x:v>
      </x:c>
      <x:c r="I7" s="29" t="str">
        <x:v>Demo sale</x:v>
      </x:c>
      <x:c r="J7" s="27" t="str">
        <x:f>IF(COUNTA(A7:I7)=0,"",IF(OR(NOT(ISNUMBER(A7)),B7="",AND(C7&lt;&gt;"Sale",C7&lt;&gt;"Purchase",C7&lt;&gt;"Adjustment"),COUNTIFS(Products!$A$6:$A$105,D7)&lt;&gt;1,NOT(ISNUMBER(E7)),E7=0,AND(C7&lt;&gt;"Adjustment",E7&lt;0)),"Check inputs",IF(AND(C7="Sale",OR(NOT(ISNUMBER(F7)),NOT(ISNUMBER(G7)),NOT(ISNUMBER(H7)),F7&lt;0,G7&lt;0,H7&lt;0,G7&gt;E7*F7)),"Check sale amounts","OK")))</x:f>
        <x:v>OK</x:v>
      </x:c>
      <x:c r="K7" s="28" t="n">
        <x:f>IF(J7="","",IF(J7&lt;&gt;"OK","Fix row",IF(C7="Sale",E7*F7-G7,0)))</x:f>
        <x:v>2500</x:v>
      </x:c>
      <x:c r="L7" s="28" t="n">
        <x:f>IF(J7="","",IF(J7&lt;&gt;"OK","Fix row",IF(C7="Sale",K7-E7*H7,0)))</x:f>
        <x:v>1300</x:v>
      </x:c>
    </x:row>
    <x:row r="8" ht="27" customHeight="1">
      <x:c r="A8" s="39" t="n">
        <x:v>46239</x:v>
      </x:c>
      <x:c r="B8" s="29" t="str">
        <x:v>S002</x:v>
      </x:c>
      <x:c r="C8" s="29" t="str">
        <x:v>Sale</x:v>
      </x:c>
      <x:c r="D8" s="29" t="str">
        <x:v>JN-BLU-32</x:v>
      </x:c>
      <x:c r="E8" s="29" t="n">
        <x:v>3</x:v>
      </x:c>
      <x:c r="F8" s="30" t="n">
        <x:v>1500</x:v>
      </x:c>
      <x:c r="G8" s="30" t="n">
        <x:v>0</x:v>
      </x:c>
      <x:c r="H8" s="30" t="n">
        <x:v>800</x:v>
      </x:c>
      <x:c r="I8" s="29" t="str">
        <x:v>Demo sale</x:v>
      </x:c>
      <x:c r="J8" s="25" t="str">
        <x:f>IF(COUNTA(A8:I8)=0,"",IF(OR(NOT(ISNUMBER(A8)),B8="",AND(C8&lt;&gt;"Sale",C8&lt;&gt;"Purchase",C8&lt;&gt;"Adjustment"),COUNTIFS(Products!$A$6:$A$105,D8)&lt;&gt;1,NOT(ISNUMBER(E8)),E8=0,AND(C8&lt;&gt;"Adjustment",E8&lt;0)),"Check inputs",IF(AND(C8="Sale",OR(NOT(ISNUMBER(F8)),NOT(ISNUMBER(G8)),NOT(ISNUMBER(H8)),F8&lt;0,G8&lt;0,H8&lt;0,G8&gt;E8*F8)),"Check sale amounts","OK")))</x:f>
        <x:v>OK</x:v>
      </x:c>
      <x:c r="K8" s="26" t="n">
        <x:f>IF(J8="","",IF(J8&lt;&gt;"OK","Fix row",IF(C8="Sale",E8*F8-G8,0)))</x:f>
        <x:v>4500</x:v>
      </x:c>
      <x:c r="L8" s="26" t="n">
        <x:f>IF(J8="","",IF(J8&lt;&gt;"OK","Fix row",IF(C8="Sale",K8-E8*H8,0)))</x:f>
        <x:v>2100</x:v>
      </x:c>
    </x:row>
    <x:row r="9" ht="27" customHeight="1">
      <x:c r="A9" s="39" t="n">
        <x:v>46249</x:v>
      </x:c>
      <x:c r="B9" s="29" t="str">
        <x:v>S003</x:v>
      </x:c>
      <x:c r="C9" s="29" t="str">
        <x:v>Sale</x:v>
      </x:c>
      <x:c r="D9" s="29" t="str">
        <x:v>DR-FLR-S</x:v>
      </x:c>
      <x:c r="E9" s="29" t="n">
        <x:v>4</x:v>
      </x:c>
      <x:c r="F9" s="30" t="n">
        <x:v>1400</x:v>
      </x:c>
      <x:c r="G9" s="30" t="n">
        <x:v>200</x:v>
      </x:c>
      <x:c r="H9" s="30" t="n">
        <x:v>700</x:v>
      </x:c>
      <x:c r="I9" s="29" t="str">
        <x:v>Demo sale</x:v>
      </x:c>
      <x:c r="J9" s="27" t="str">
        <x:f>IF(COUNTA(A9:I9)=0,"",IF(OR(NOT(ISNUMBER(A9)),B9="",AND(C9&lt;&gt;"Sale",C9&lt;&gt;"Purchase",C9&lt;&gt;"Adjustment"),COUNTIFS(Products!$A$6:$A$105,D9)&lt;&gt;1,NOT(ISNUMBER(E9)),E9=0,AND(C9&lt;&gt;"Adjustment",E9&lt;0)),"Check inputs",IF(AND(C9="Sale",OR(NOT(ISNUMBER(F9)),NOT(ISNUMBER(G9)),NOT(ISNUMBER(H9)),F9&lt;0,G9&lt;0,H9&lt;0,G9&gt;E9*F9)),"Check sale amounts","OK")))</x:f>
        <x:v>OK</x:v>
      </x:c>
      <x:c r="K9" s="28" t="n">
        <x:f>IF(J9="","",IF(J9&lt;&gt;"OK","Fix row",IF(C9="Sale",E9*F9-G9,0)))</x:f>
        <x:v>5400</x:v>
      </x:c>
      <x:c r="L9" s="28" t="n">
        <x:f>IF(J9="","",IF(J9&lt;&gt;"OK","Fix row",IF(C9="Sale",K9-E9*H9,0)))</x:f>
        <x:v>2600</x:v>
      </x:c>
    </x:row>
    <x:row r="10" ht="27" customHeight="1">
      <x:c r="A10" s="39" t="n">
        <x:v>46267</x:v>
      </x:c>
      <x:c r="B10" s="29" t="str">
        <x:v>S004</x:v>
      </x:c>
      <x:c r="C10" s="29" t="str">
        <x:v>Sale</x:v>
      </x:c>
      <x:c r="D10" s="29" t="str">
        <x:v>HD-GRY-M</x:v>
      </x:c>
      <x:c r="E10" s="29" t="n">
        <x:v>6</x:v>
      </x:c>
      <x:c r="F10" s="30" t="n">
        <x:v>1300</x:v>
      </x:c>
      <x:c r="G10" s="30" t="n">
        <x:v>0</x:v>
      </x:c>
      <x:c r="H10" s="30" t="n">
        <x:v>650</x:v>
      </x:c>
      <x:c r="I10" s="29" t="str">
        <x:v>Demo sale</x:v>
      </x:c>
      <x:c r="J10" s="25" t="str">
        <x:f>IF(COUNTA(A10:I10)=0,"",IF(OR(NOT(ISNUMBER(A10)),B10="",AND(C10&lt;&gt;"Sale",C10&lt;&gt;"Purchase",C10&lt;&gt;"Adjustment"),COUNTIFS(Products!$A$6:$A$105,D10)&lt;&gt;1,NOT(ISNUMBER(E10)),E10=0,AND(C10&lt;&gt;"Adjustment",E10&lt;0)),"Check inputs",IF(AND(C10="Sale",OR(NOT(ISNUMBER(F10)),NOT(ISNUMBER(G10)),NOT(ISNUMBER(H10)),F10&lt;0,G10&lt;0,H10&lt;0,G10&gt;E10*F10)),"Check sale amounts","OK")))</x:f>
        <x:v>OK</x:v>
      </x:c>
      <x:c r="K10" s="26" t="n">
        <x:f>IF(J10="","",IF(J10&lt;&gt;"OK","Fix row",IF(C10="Sale",E10*F10-G10,0)))</x:f>
        <x:v>7800</x:v>
      </x:c>
      <x:c r="L10" s="26" t="n">
        <x:f>IF(J10="","",IF(J10&lt;&gt;"OK","Fix row",IF(C10="Sale",K10-E10*H10,0)))</x:f>
        <x:v>3900</x:v>
      </x:c>
    </x:row>
    <x:row r="11" ht="27" customHeight="1">
      <x:c r="A11" s="39" t="n">
        <x:v>46273</x:v>
      </x:c>
      <x:c r="B11" s="29" t="str">
        <x:v>S005</x:v>
      </x:c>
      <x:c r="C11" s="29" t="str">
        <x:v>Sale</x:v>
      </x:c>
      <x:c r="D11" s="29" t="str">
        <x:v>TS-BLK-L</x:v>
      </x:c>
      <x:c r="E11" s="29" t="n">
        <x:v>5</x:v>
      </x:c>
      <x:c r="F11" s="30" t="n">
        <x:v>650</x:v>
      </x:c>
      <x:c r="G11" s="30" t="n">
        <x:v>0</x:v>
      </x:c>
      <x:c r="H11" s="30" t="n">
        <x:v>300</x:v>
      </x:c>
      <x:c r="I11" s="29" t="str">
        <x:v>Demo sale</x:v>
      </x:c>
      <x:c r="J11" s="27" t="str">
        <x:f>IF(COUNTA(A11:I11)=0,"",IF(OR(NOT(ISNUMBER(A11)),B11="",AND(C11&lt;&gt;"Sale",C11&lt;&gt;"Purchase",C11&lt;&gt;"Adjustment"),COUNTIFS(Products!$A$6:$A$105,D11)&lt;&gt;1,NOT(ISNUMBER(E11)),E11=0,AND(C11&lt;&gt;"Adjustment",E11&lt;0)),"Check inputs",IF(AND(C11="Sale",OR(NOT(ISNUMBER(F11)),NOT(ISNUMBER(G11)),NOT(ISNUMBER(H11)),F11&lt;0,G11&lt;0,H11&lt;0,G11&gt;E11*F11)),"Check sale amounts","OK")))</x:f>
        <x:v>OK</x:v>
      </x:c>
      <x:c r="K11" s="28" t="n">
        <x:f>IF(J11="","",IF(J11&lt;&gt;"OK","Fix row",IF(C11="Sale",E11*F11-G11,0)))</x:f>
        <x:v>3250</x:v>
      </x:c>
      <x:c r="L11" s="28" t="n">
        <x:f>IF(J11="","",IF(J11&lt;&gt;"OK","Fix row",IF(C11="Sale",K11-E11*H11,0)))</x:f>
        <x:v>1750</x:v>
      </x:c>
    </x:row>
    <x:row r="12" ht="27" customHeight="1">
      <x:c r="A12" s="39" t="n">
        <x:v>46277</x:v>
      </x:c>
      <x:c r="B12" s="29" t="str">
        <x:v>P002</x:v>
      </x:c>
      <x:c r="C12" s="29" t="str">
        <x:v>Purchase</x:v>
      </x:c>
      <x:c r="D12" s="29" t="str">
        <x:v>JN-BLU-32</x:v>
      </x:c>
      <x:c r="E12" s="29" t="n">
        <x:v>5</x:v>
      </x:c>
      <x:c r="F12" s="30" t="n">
        <x:v>0</x:v>
      </x:c>
      <x:c r="G12" s="30" t="n">
        <x:v>0</x:v>
      </x:c>
      <x:c r="H12" s="30" t="n">
        <x:v>800</x:v>
      </x:c>
      <x:c r="I12" s="29" t="str">
        <x:v>Demo purchase</x:v>
      </x:c>
      <x:c r="J12" s="25" t="str">
        <x:f>IF(COUNTA(A12:I12)=0,"",IF(OR(NOT(ISNUMBER(A12)),B12="",AND(C12&lt;&gt;"Sale",C12&lt;&gt;"Purchase",C12&lt;&gt;"Adjustment"),COUNTIFS(Products!$A$6:$A$105,D12)&lt;&gt;1,NOT(ISNUMBER(E12)),E12=0,AND(C12&lt;&gt;"Adjustment",E12&lt;0)),"Check inputs",IF(AND(C12="Sale",OR(NOT(ISNUMBER(F12)),NOT(ISNUMBER(G12)),NOT(ISNUMBER(H12)),F12&lt;0,G12&lt;0,H12&lt;0,G12&gt;E12*F12)),"Check sale amounts","OK")))</x:f>
        <x:v>OK</x:v>
      </x:c>
      <x:c r="K12" s="26" t="n">
        <x:f>IF(J12="","",IF(J12&lt;&gt;"OK","Fix row",IF(C12="Sale",E12*F12-G12,0)))</x:f>
        <x:v>0</x:v>
      </x:c>
      <x:c r="L12" s="26" t="n">
        <x:f>IF(J12="","",IF(J12&lt;&gt;"OK","Fix row",IF(C12="Sale",K12-E12*H12,0)))</x:f>
        <x:v>0</x:v>
      </x:c>
    </x:row>
    <x:row r="13" ht="27" customHeight="1">
      <x:c r="A13" s="39" t="n">
        <x:v>46284</x:v>
      </x:c>
      <x:c r="B13" s="29" t="str">
        <x:v>S006</x:v>
      </x:c>
      <x:c r="C13" s="29" t="str">
        <x:v>Sale</x:v>
      </x:c>
      <x:c r="D13" s="29" t="str">
        <x:v>SH-WHT-M</x:v>
      </x:c>
      <x:c r="E13" s="29" t="n">
        <x:v>7</x:v>
      </x:c>
      <x:c r="F13" s="30" t="n">
        <x:v>1000</x:v>
      </x:c>
      <x:c r="G13" s="30" t="n">
        <x:v>0</x:v>
      </x:c>
      <x:c r="H13" s="30" t="n">
        <x:v>500</x:v>
      </x:c>
      <x:c r="I13" s="29" t="str">
        <x:v>Demo sale</x:v>
      </x:c>
      <x:c r="J13" s="27" t="str">
        <x:f>IF(COUNTA(A13:I13)=0,"",IF(OR(NOT(ISNUMBER(A13)),B13="",AND(C13&lt;&gt;"Sale",C13&lt;&gt;"Purchase",C13&lt;&gt;"Adjustment"),COUNTIFS(Products!$A$6:$A$105,D13)&lt;&gt;1,NOT(ISNUMBER(E13)),E13=0,AND(C13&lt;&gt;"Adjustment",E13&lt;0)),"Check inputs",IF(AND(C13="Sale",OR(NOT(ISNUMBER(F13)),NOT(ISNUMBER(G13)),NOT(ISNUMBER(H13)),F13&lt;0,G13&lt;0,H13&lt;0,G13&gt;E13*F13)),"Check sale amounts","OK")))</x:f>
        <x:v>OK</x:v>
      </x:c>
      <x:c r="K13" s="28" t="n">
        <x:f>IF(J13="","",IF(J13&lt;&gt;"OK","Fix row",IF(C13="Sale",E13*F13-G13,0)))</x:f>
        <x:v>7000</x:v>
      </x:c>
      <x:c r="L13" s="28" t="n">
        <x:f>IF(J13="","",IF(J13&lt;&gt;"OK","Fix row",IF(C13="Sale",K13-E13*H13,0)))</x:f>
        <x:v>3500</x:v>
      </x:c>
    </x:row>
    <x:row r="14" ht="27" customHeight="1">
      <x:c r="A14" s="39" t="n">
        <x:v>46285</x:v>
      </x:c>
      <x:c r="B14" s="29" t="str">
        <x:v>A001</x:v>
      </x:c>
      <x:c r="C14" s="29" t="str">
        <x:v>Adjustment</x:v>
      </x:c>
      <x:c r="D14" s="29" t="str">
        <x:v>TS-BLK-M</x:v>
      </x:c>
      <x:c r="E14" s="29" t="n">
        <x:v>-1</x:v>
      </x:c>
      <x:c r="F14" s="30" t="n">
        <x:v>0</x:v>
      </x:c>
      <x:c r="G14" s="30" t="n">
        <x:v>0</x:v>
      </x:c>
      <x:c r="H14" s="30" t="n">
        <x:v>0</x:v>
      </x:c>
      <x:c r="I14" s="29" t="str">
        <x:v>Damaged item</x:v>
      </x:c>
      <x:c r="J14" s="25" t="str">
        <x:f>IF(COUNTA(A14:I14)=0,"",IF(OR(NOT(ISNUMBER(A14)),B14="",AND(C14&lt;&gt;"Sale",C14&lt;&gt;"Purchase",C14&lt;&gt;"Adjustment"),COUNTIFS(Products!$A$6:$A$105,D14)&lt;&gt;1,NOT(ISNUMBER(E14)),E14=0,AND(C14&lt;&gt;"Adjustment",E14&lt;0)),"Check inputs",IF(AND(C14="Sale",OR(NOT(ISNUMBER(F14)),NOT(ISNUMBER(G14)),NOT(ISNUMBER(H14)),F14&lt;0,G14&lt;0,H14&lt;0,G14&gt;E14*F14)),"Check sale amounts","OK")))</x:f>
        <x:v>OK</x:v>
      </x:c>
      <x:c r="K14" s="26" t="n">
        <x:f>IF(J14="","",IF(J14&lt;&gt;"OK","Fix row",IF(C14="Sale",E14*F14-G14,0)))</x:f>
        <x:v>0</x:v>
      </x:c>
      <x:c r="L14" s="26" t="n">
        <x:f>IF(J14="","",IF(J14&lt;&gt;"OK","Fix row",IF(C14="Sale",K14-E14*H14,0)))</x:f>
        <x:v>0</x:v>
      </x:c>
    </x:row>
    <x:row r="15" ht="27" customHeight="1">
      <x:c r="A15" s="39" t="n">
        <x:v>46296</x:v>
      </x:c>
      <x:c r="B15" s="29" t="str">
        <x:v>S007</x:v>
      </x:c>
      <x:c r="C15" s="29" t="str">
        <x:v>Sale</x:v>
      </x:c>
      <x:c r="D15" s="29" t="str">
        <x:v>TS-BLK-M</x:v>
      </x:c>
      <x:c r="E15" s="29" t="n">
        <x:v>3</x:v>
      </x:c>
      <x:c r="F15" s="30" t="n">
        <x:v>650</x:v>
      </x:c>
      <x:c r="G15" s="30" t="n">
        <x:v>0</x:v>
      </x:c>
      <x:c r="H15" s="30" t="n">
        <x:v>300</x:v>
      </x:c>
      <x:c r="I15" s="29" t="str">
        <x:v>Demo sale</x:v>
      </x:c>
      <x:c r="J15" s="27" t="str">
        <x:f>IF(COUNTA(A15:I15)=0,"",IF(OR(NOT(ISNUMBER(A15)),B15="",AND(C15&lt;&gt;"Sale",C15&lt;&gt;"Purchase",C15&lt;&gt;"Adjustment"),COUNTIFS(Products!$A$6:$A$105,D15)&lt;&gt;1,NOT(ISNUMBER(E15)),E15=0,AND(C15&lt;&gt;"Adjustment",E15&lt;0)),"Check inputs",IF(AND(C15="Sale",OR(NOT(ISNUMBER(F15)),NOT(ISNUMBER(G15)),NOT(ISNUMBER(H15)),F15&lt;0,G15&lt;0,H15&lt;0,G15&gt;E15*F15)),"Check sale amounts","OK")))</x:f>
        <x:v>OK</x:v>
      </x:c>
      <x:c r="K15" s="28" t="n">
        <x:f>IF(J15="","",IF(J15&lt;&gt;"OK","Fix row",IF(C15="Sale",E15*F15-G15,0)))</x:f>
        <x:v>1950</x:v>
      </x:c>
      <x:c r="L15" s="28" t="n">
        <x:f>IF(J15="","",IF(J15&lt;&gt;"OK","Fix row",IF(C15="Sale",K15-E15*H15,0)))</x:f>
        <x:v>1050</x:v>
      </x:c>
    </x:row>
    <x:row r="16" ht="27" customHeight="1">
      <x:c r="A16" s="39"/>
      <x:c r="B16" s="29"/>
      <x:c r="C16" s="29"/>
      <x:c r="D16" s="29"/>
      <x:c r="E16" s="29"/>
      <x:c r="F16" s="30"/>
      <x:c r="G16" s="30"/>
      <x:c r="H16" s="30"/>
      <x:c r="I16" s="29"/>
      <x:c r="J16" s="25" t="str">
        <x:f>IF(COUNTA(A16:I16)=0,"",IF(OR(NOT(ISNUMBER(A16)),B16="",AND(C16&lt;&gt;"Sale",C16&lt;&gt;"Purchase",C16&lt;&gt;"Adjustment"),COUNTIFS(Products!$A$6:$A$105,D16)&lt;&gt;1,NOT(ISNUMBER(E16)),E16=0,AND(C16&lt;&gt;"Adjustment",E16&lt;0)),"Check inputs",IF(AND(C16="Sale",OR(NOT(ISNUMBER(F16)),NOT(ISNUMBER(G16)),NOT(ISNUMBER(H16)),F16&lt;0,G16&lt;0,H16&lt;0,G16&gt;E16*F16)),"Check sale amounts","OK")))</x:f>
      </x:c>
      <x:c r="K16" s="26" t="str">
        <x:f>IF(J16="","",IF(J16&lt;&gt;"OK","Fix row",IF(C16="Sale",E16*F16-G16,0)))</x:f>
      </x:c>
      <x:c r="L16" s="26" t="str">
        <x:f>IF(J16="","",IF(J16&lt;&gt;"OK","Fix row",IF(C16="Sale",K16-E16*H16,0)))</x:f>
      </x:c>
    </x:row>
    <x:row r="17" ht="27" customHeight="1">
      <x:c r="A17" s="39"/>
      <x:c r="B17" s="29"/>
      <x:c r="C17" s="29"/>
      <x:c r="D17" s="29"/>
      <x:c r="E17" s="29"/>
      <x:c r="F17" s="30"/>
      <x:c r="G17" s="30"/>
      <x:c r="H17" s="30"/>
      <x:c r="I17" s="29"/>
      <x:c r="J17" s="27" t="str">
        <x:f>IF(COUNTA(A17:I17)=0,"",IF(OR(NOT(ISNUMBER(A17)),B17="",AND(C17&lt;&gt;"Sale",C17&lt;&gt;"Purchase",C17&lt;&gt;"Adjustment"),COUNTIFS(Products!$A$6:$A$105,D17)&lt;&gt;1,NOT(ISNUMBER(E17)),E17=0,AND(C17&lt;&gt;"Adjustment",E17&lt;0)),"Check inputs",IF(AND(C17="Sale",OR(NOT(ISNUMBER(F17)),NOT(ISNUMBER(G17)),NOT(ISNUMBER(H17)),F17&lt;0,G17&lt;0,H17&lt;0,G17&gt;E17*F17)),"Check sale amounts","OK")))</x:f>
      </x:c>
      <x:c r="K17" s="28" t="str">
        <x:f>IF(J17="","",IF(J17&lt;&gt;"OK","Fix row",IF(C17="Sale",E17*F17-G17,0)))</x:f>
      </x:c>
      <x:c r="L17" s="28" t="str">
        <x:f>IF(J17="","",IF(J17&lt;&gt;"OK","Fix row",IF(C17="Sale",K17-E17*H17,0)))</x:f>
      </x:c>
    </x:row>
    <x:row r="18" ht="27" customHeight="1">
      <x:c r="A18" s="39"/>
      <x:c r="B18" s="29"/>
      <x:c r="C18" s="29"/>
      <x:c r="D18" s="29"/>
      <x:c r="E18" s="29"/>
      <x:c r="F18" s="30"/>
      <x:c r="G18" s="30"/>
      <x:c r="H18" s="30"/>
      <x:c r="I18" s="29"/>
      <x:c r="J18" s="25" t="str">
        <x:f>IF(COUNTA(A18:I18)=0,"",IF(OR(NOT(ISNUMBER(A18)),B18="",AND(C18&lt;&gt;"Sale",C18&lt;&gt;"Purchase",C18&lt;&gt;"Adjustment"),COUNTIFS(Products!$A$6:$A$105,D18)&lt;&gt;1,NOT(ISNUMBER(E18)),E18=0,AND(C18&lt;&gt;"Adjustment",E18&lt;0)),"Check inputs",IF(AND(C18="Sale",OR(NOT(ISNUMBER(F18)),NOT(ISNUMBER(G18)),NOT(ISNUMBER(H18)),F18&lt;0,G18&lt;0,H18&lt;0,G18&gt;E18*F18)),"Check sale amounts","OK")))</x:f>
      </x:c>
      <x:c r="K18" s="26" t="str">
        <x:f>IF(J18="","",IF(J18&lt;&gt;"OK","Fix row",IF(C18="Sale",E18*F18-G18,0)))</x:f>
      </x:c>
      <x:c r="L18" s="26" t="str">
        <x:f>IF(J18="","",IF(J18&lt;&gt;"OK","Fix row",IF(C18="Sale",K18-E18*H18,0)))</x:f>
      </x:c>
    </x:row>
    <x:row r="19" ht="27" customHeight="1">
      <x:c r="A19" s="39"/>
      <x:c r="B19" s="29"/>
      <x:c r="C19" s="29"/>
      <x:c r="D19" s="29"/>
      <x:c r="E19" s="29"/>
      <x:c r="F19" s="30"/>
      <x:c r="G19" s="30"/>
      <x:c r="H19" s="30"/>
      <x:c r="I19" s="29"/>
      <x:c r="J19" s="27" t="str">
        <x:f>IF(COUNTA(A19:I19)=0,"",IF(OR(NOT(ISNUMBER(A19)),B19="",AND(C19&lt;&gt;"Sale",C19&lt;&gt;"Purchase",C19&lt;&gt;"Adjustment"),COUNTIFS(Products!$A$6:$A$105,D19)&lt;&gt;1,NOT(ISNUMBER(E19)),E19=0,AND(C19&lt;&gt;"Adjustment",E19&lt;0)),"Check inputs",IF(AND(C19="Sale",OR(NOT(ISNUMBER(F19)),NOT(ISNUMBER(G19)),NOT(ISNUMBER(H19)),F19&lt;0,G19&lt;0,H19&lt;0,G19&gt;E19*F19)),"Check sale amounts","OK")))</x:f>
      </x:c>
      <x:c r="K19" s="28" t="str">
        <x:f>IF(J19="","",IF(J19&lt;&gt;"OK","Fix row",IF(C19="Sale",E19*F19-G19,0)))</x:f>
      </x:c>
      <x:c r="L19" s="28" t="str">
        <x:f>IF(J19="","",IF(J19&lt;&gt;"OK","Fix row",IF(C19="Sale",K19-E19*H19,0)))</x:f>
      </x:c>
    </x:row>
    <x:row r="20" ht="27" customHeight="1">
      <x:c r="A20" s="39"/>
      <x:c r="B20" s="29"/>
      <x:c r="C20" s="29"/>
      <x:c r="D20" s="29"/>
      <x:c r="E20" s="29"/>
      <x:c r="F20" s="30"/>
      <x:c r="G20" s="30"/>
      <x:c r="H20" s="30"/>
      <x:c r="I20" s="29"/>
      <x:c r="J20" s="25" t="str">
        <x:f>IF(COUNTA(A20:I20)=0,"",IF(OR(NOT(ISNUMBER(A20)),B20="",AND(C20&lt;&gt;"Sale",C20&lt;&gt;"Purchase",C20&lt;&gt;"Adjustment"),COUNTIFS(Products!$A$6:$A$105,D20)&lt;&gt;1,NOT(ISNUMBER(E20)),E20=0,AND(C20&lt;&gt;"Adjustment",E20&lt;0)),"Check inputs",IF(AND(C20="Sale",OR(NOT(ISNUMBER(F20)),NOT(ISNUMBER(G20)),NOT(ISNUMBER(H20)),F20&lt;0,G20&lt;0,H20&lt;0,G20&gt;E20*F20)),"Check sale amounts","OK")))</x:f>
      </x:c>
      <x:c r="K20" s="26" t="str">
        <x:f>IF(J20="","",IF(J20&lt;&gt;"OK","Fix row",IF(C20="Sale",E20*F20-G20,0)))</x:f>
      </x:c>
      <x:c r="L20" s="26" t="str">
        <x:f>IF(J20="","",IF(J20&lt;&gt;"OK","Fix row",IF(C20="Sale",K20-E20*H20,0)))</x:f>
      </x:c>
    </x:row>
    <x:row r="21" ht="27" customHeight="1">
      <x:c r="A21" s="39"/>
      <x:c r="B21" s="29"/>
      <x:c r="C21" s="29"/>
      <x:c r="D21" s="29"/>
      <x:c r="E21" s="29"/>
      <x:c r="F21" s="30"/>
      <x:c r="G21" s="30"/>
      <x:c r="H21" s="30"/>
      <x:c r="I21" s="29"/>
      <x:c r="J21" s="27" t="str">
        <x:f>IF(COUNTA(A21:I21)=0,"",IF(OR(NOT(ISNUMBER(A21)),B21="",AND(C21&lt;&gt;"Sale",C21&lt;&gt;"Purchase",C21&lt;&gt;"Adjustment"),COUNTIFS(Products!$A$6:$A$105,D21)&lt;&gt;1,NOT(ISNUMBER(E21)),E21=0,AND(C21&lt;&gt;"Adjustment",E21&lt;0)),"Check inputs",IF(AND(C21="Sale",OR(NOT(ISNUMBER(F21)),NOT(ISNUMBER(G21)),NOT(ISNUMBER(H21)),F21&lt;0,G21&lt;0,H21&lt;0,G21&gt;E21*F21)),"Check sale amounts","OK")))</x:f>
      </x:c>
      <x:c r="K21" s="28" t="str">
        <x:f>IF(J21="","",IF(J21&lt;&gt;"OK","Fix row",IF(C21="Sale",E21*F21-G21,0)))</x:f>
      </x:c>
      <x:c r="L21" s="28" t="str">
        <x:f>IF(J21="","",IF(J21&lt;&gt;"OK","Fix row",IF(C21="Sale",K21-E21*H21,0)))</x:f>
      </x:c>
    </x:row>
    <x:row r="22" ht="27" customHeight="1">
      <x:c r="A22" s="39"/>
      <x:c r="B22" s="29"/>
      <x:c r="C22" s="29"/>
      <x:c r="D22" s="29"/>
      <x:c r="E22" s="29"/>
      <x:c r="F22" s="30"/>
      <x:c r="G22" s="30"/>
      <x:c r="H22" s="30"/>
      <x:c r="I22" s="29"/>
      <x:c r="J22" s="25" t="str">
        <x:f>IF(COUNTA(A22:I22)=0,"",IF(OR(NOT(ISNUMBER(A22)),B22="",AND(C22&lt;&gt;"Sale",C22&lt;&gt;"Purchase",C22&lt;&gt;"Adjustment"),COUNTIFS(Products!$A$6:$A$105,D22)&lt;&gt;1,NOT(ISNUMBER(E22)),E22=0,AND(C22&lt;&gt;"Adjustment",E22&lt;0)),"Check inputs",IF(AND(C22="Sale",OR(NOT(ISNUMBER(F22)),NOT(ISNUMBER(G22)),NOT(ISNUMBER(H22)),F22&lt;0,G22&lt;0,H22&lt;0,G22&gt;E22*F22)),"Check sale amounts","OK")))</x:f>
      </x:c>
      <x:c r="K22" s="26" t="str">
        <x:f>IF(J22="","",IF(J22&lt;&gt;"OK","Fix row",IF(C22="Sale",E22*F22-G22,0)))</x:f>
      </x:c>
      <x:c r="L22" s="26" t="str">
        <x:f>IF(J22="","",IF(J22&lt;&gt;"OK","Fix row",IF(C22="Sale",K22-E22*H22,0)))</x:f>
      </x:c>
    </x:row>
    <x:row r="23" ht="27" customHeight="1">
      <x:c r="A23" s="39"/>
      <x:c r="B23" s="29"/>
      <x:c r="C23" s="29"/>
      <x:c r="D23" s="29"/>
      <x:c r="E23" s="29"/>
      <x:c r="F23" s="30"/>
      <x:c r="G23" s="30"/>
      <x:c r="H23" s="30"/>
      <x:c r="I23" s="29"/>
      <x:c r="J23" s="27" t="str">
        <x:f>IF(COUNTA(A23:I23)=0,"",IF(OR(NOT(ISNUMBER(A23)),B23="",AND(C23&lt;&gt;"Sale",C23&lt;&gt;"Purchase",C23&lt;&gt;"Adjustment"),COUNTIFS(Products!$A$6:$A$105,D23)&lt;&gt;1,NOT(ISNUMBER(E23)),E23=0,AND(C23&lt;&gt;"Adjustment",E23&lt;0)),"Check inputs",IF(AND(C23="Sale",OR(NOT(ISNUMBER(F23)),NOT(ISNUMBER(G23)),NOT(ISNUMBER(H23)),F23&lt;0,G23&lt;0,H23&lt;0,G23&gt;E23*F23)),"Check sale amounts","OK")))</x:f>
      </x:c>
      <x:c r="K23" s="28" t="str">
        <x:f>IF(J23="","",IF(J23&lt;&gt;"OK","Fix row",IF(C23="Sale",E23*F23-G23,0)))</x:f>
      </x:c>
      <x:c r="L23" s="28" t="str">
        <x:f>IF(J23="","",IF(J23&lt;&gt;"OK","Fix row",IF(C23="Sale",K23-E23*H23,0)))</x:f>
      </x:c>
    </x:row>
    <x:row r="24" ht="27" customHeight="1">
      <x:c r="A24" s="39"/>
      <x:c r="B24" s="29"/>
      <x:c r="C24" s="29"/>
      <x:c r="D24" s="29"/>
      <x:c r="E24" s="29"/>
      <x:c r="F24" s="30"/>
      <x:c r="G24" s="30"/>
      <x:c r="H24" s="30"/>
      <x:c r="I24" s="29"/>
      <x:c r="J24" s="25" t="str">
        <x:f>IF(COUNTA(A24:I24)=0,"",IF(OR(NOT(ISNUMBER(A24)),B24="",AND(C24&lt;&gt;"Sale",C24&lt;&gt;"Purchase",C24&lt;&gt;"Adjustment"),COUNTIFS(Products!$A$6:$A$105,D24)&lt;&gt;1,NOT(ISNUMBER(E24)),E24=0,AND(C24&lt;&gt;"Adjustment",E24&lt;0)),"Check inputs",IF(AND(C24="Sale",OR(NOT(ISNUMBER(F24)),NOT(ISNUMBER(G24)),NOT(ISNUMBER(H24)),F24&lt;0,G24&lt;0,H24&lt;0,G24&gt;E24*F24)),"Check sale amounts","OK")))</x:f>
      </x:c>
      <x:c r="K24" s="26" t="str">
        <x:f>IF(J24="","",IF(J24&lt;&gt;"OK","Fix row",IF(C24="Sale",E24*F24-G24,0)))</x:f>
      </x:c>
      <x:c r="L24" s="26" t="str">
        <x:f>IF(J24="","",IF(J24&lt;&gt;"OK","Fix row",IF(C24="Sale",K24-E24*H24,0)))</x:f>
      </x:c>
    </x:row>
    <x:row r="25" ht="27" customHeight="1">
      <x:c r="A25" s="39"/>
      <x:c r="B25" s="29"/>
      <x:c r="C25" s="29"/>
      <x:c r="D25" s="29"/>
      <x:c r="E25" s="29"/>
      <x:c r="F25" s="30"/>
      <x:c r="G25" s="30"/>
      <x:c r="H25" s="30"/>
      <x:c r="I25" s="29"/>
      <x:c r="J25" s="27" t="str">
        <x:f>IF(COUNTA(A25:I25)=0,"",IF(OR(NOT(ISNUMBER(A25)),B25="",AND(C25&lt;&gt;"Sale",C25&lt;&gt;"Purchase",C25&lt;&gt;"Adjustment"),COUNTIFS(Products!$A$6:$A$105,D25)&lt;&gt;1,NOT(ISNUMBER(E25)),E25=0,AND(C25&lt;&gt;"Adjustment",E25&lt;0)),"Check inputs",IF(AND(C25="Sale",OR(NOT(ISNUMBER(F25)),NOT(ISNUMBER(G25)),NOT(ISNUMBER(H25)),F25&lt;0,G25&lt;0,H25&lt;0,G25&gt;E25*F25)),"Check sale amounts","OK")))</x:f>
      </x:c>
      <x:c r="K25" s="28" t="str">
        <x:f>IF(J25="","",IF(J25&lt;&gt;"OK","Fix row",IF(C25="Sale",E25*F25-G25,0)))</x:f>
      </x:c>
      <x:c r="L25" s="28" t="str">
        <x:f>IF(J25="","",IF(J25&lt;&gt;"OK","Fix row",IF(C25="Sale",K25-E25*H25,0)))</x:f>
      </x:c>
    </x:row>
    <x:row r="26" ht="27" customHeight="1">
      <x:c r="A26" s="39"/>
      <x:c r="B26" s="29"/>
      <x:c r="C26" s="29"/>
      <x:c r="D26" s="29"/>
      <x:c r="E26" s="29"/>
      <x:c r="F26" s="30"/>
      <x:c r="G26" s="30"/>
      <x:c r="H26" s="30"/>
      <x:c r="I26" s="29"/>
      <x:c r="J26" s="25" t="str">
        <x:f>IF(COUNTA(A26:I26)=0,"",IF(OR(NOT(ISNUMBER(A26)),B26="",AND(C26&lt;&gt;"Sale",C26&lt;&gt;"Purchase",C26&lt;&gt;"Adjustment"),COUNTIFS(Products!$A$6:$A$105,D26)&lt;&gt;1,NOT(ISNUMBER(E26)),E26=0,AND(C26&lt;&gt;"Adjustment",E26&lt;0)),"Check inputs",IF(AND(C26="Sale",OR(NOT(ISNUMBER(F26)),NOT(ISNUMBER(G26)),NOT(ISNUMBER(H26)),F26&lt;0,G26&lt;0,H26&lt;0,G26&gt;E26*F26)),"Check sale amounts","OK")))</x:f>
      </x:c>
      <x:c r="K26" s="26" t="str">
        <x:f>IF(J26="","",IF(J26&lt;&gt;"OK","Fix row",IF(C26="Sale",E26*F26-G26,0)))</x:f>
      </x:c>
      <x:c r="L26" s="26" t="str">
        <x:f>IF(J26="","",IF(J26&lt;&gt;"OK","Fix row",IF(C26="Sale",K26-E26*H26,0)))</x:f>
      </x:c>
    </x:row>
    <x:row r="27" ht="27" customHeight="1">
      <x:c r="A27" s="39"/>
      <x:c r="B27" s="29"/>
      <x:c r="C27" s="29"/>
      <x:c r="D27" s="29"/>
      <x:c r="E27" s="29"/>
      <x:c r="F27" s="30"/>
      <x:c r="G27" s="30"/>
      <x:c r="H27" s="30"/>
      <x:c r="I27" s="29"/>
      <x:c r="J27" s="27" t="str">
        <x:f>IF(COUNTA(A27:I27)=0,"",IF(OR(NOT(ISNUMBER(A27)),B27="",AND(C27&lt;&gt;"Sale",C27&lt;&gt;"Purchase",C27&lt;&gt;"Adjustment"),COUNTIFS(Products!$A$6:$A$105,D27)&lt;&gt;1,NOT(ISNUMBER(E27)),E27=0,AND(C27&lt;&gt;"Adjustment",E27&lt;0)),"Check inputs",IF(AND(C27="Sale",OR(NOT(ISNUMBER(F27)),NOT(ISNUMBER(G27)),NOT(ISNUMBER(H27)),F27&lt;0,G27&lt;0,H27&lt;0,G27&gt;E27*F27)),"Check sale amounts","OK")))</x:f>
      </x:c>
      <x:c r="K27" s="28" t="str">
        <x:f>IF(J27="","",IF(J27&lt;&gt;"OK","Fix row",IF(C27="Sale",E27*F27-G27,0)))</x:f>
      </x:c>
      <x:c r="L27" s="28" t="str">
        <x:f>IF(J27="","",IF(J27&lt;&gt;"OK","Fix row",IF(C27="Sale",K27-E27*H27,0)))</x:f>
      </x:c>
    </x:row>
    <x:row r="28" ht="27" customHeight="1">
      <x:c r="A28" s="39"/>
      <x:c r="B28" s="29"/>
      <x:c r="C28" s="29"/>
      <x:c r="D28" s="29"/>
      <x:c r="E28" s="29"/>
      <x:c r="F28" s="30"/>
      <x:c r="G28" s="30"/>
      <x:c r="H28" s="30"/>
      <x:c r="I28" s="29"/>
      <x:c r="J28" s="25" t="str">
        <x:f>IF(COUNTA(A28:I28)=0,"",IF(OR(NOT(ISNUMBER(A28)),B28="",AND(C28&lt;&gt;"Sale",C28&lt;&gt;"Purchase",C28&lt;&gt;"Adjustment"),COUNTIFS(Products!$A$6:$A$105,D28)&lt;&gt;1,NOT(ISNUMBER(E28)),E28=0,AND(C28&lt;&gt;"Adjustment",E28&lt;0)),"Check inputs",IF(AND(C28="Sale",OR(NOT(ISNUMBER(F28)),NOT(ISNUMBER(G28)),NOT(ISNUMBER(H28)),F28&lt;0,G28&lt;0,H28&lt;0,G28&gt;E28*F28)),"Check sale amounts","OK")))</x:f>
      </x:c>
      <x:c r="K28" s="26" t="str">
        <x:f>IF(J28="","",IF(J28&lt;&gt;"OK","Fix row",IF(C28="Sale",E28*F28-G28,0)))</x:f>
      </x:c>
      <x:c r="L28" s="26" t="str">
        <x:f>IF(J28="","",IF(J28&lt;&gt;"OK","Fix row",IF(C28="Sale",K28-E28*H28,0)))</x:f>
      </x:c>
    </x:row>
    <x:row r="29" ht="27" customHeight="1">
      <x:c r="A29" s="39"/>
      <x:c r="B29" s="29"/>
      <x:c r="C29" s="29"/>
      <x:c r="D29" s="29"/>
      <x:c r="E29" s="29"/>
      <x:c r="F29" s="30"/>
      <x:c r="G29" s="30"/>
      <x:c r="H29" s="30"/>
      <x:c r="I29" s="29"/>
      <x:c r="J29" s="27" t="str">
        <x:f>IF(COUNTA(A29:I29)=0,"",IF(OR(NOT(ISNUMBER(A29)),B29="",AND(C29&lt;&gt;"Sale",C29&lt;&gt;"Purchase",C29&lt;&gt;"Adjustment"),COUNTIFS(Products!$A$6:$A$105,D29)&lt;&gt;1,NOT(ISNUMBER(E29)),E29=0,AND(C29&lt;&gt;"Adjustment",E29&lt;0)),"Check inputs",IF(AND(C29="Sale",OR(NOT(ISNUMBER(F29)),NOT(ISNUMBER(G29)),NOT(ISNUMBER(H29)),F29&lt;0,G29&lt;0,H29&lt;0,G29&gt;E29*F29)),"Check sale amounts","OK")))</x:f>
      </x:c>
      <x:c r="K29" s="28" t="str">
        <x:f>IF(J29="","",IF(J29&lt;&gt;"OK","Fix row",IF(C29="Sale",E29*F29-G29,0)))</x:f>
      </x:c>
      <x:c r="L29" s="28" t="str">
        <x:f>IF(J29="","",IF(J29&lt;&gt;"OK","Fix row",IF(C29="Sale",K29-E29*H29,0)))</x:f>
      </x:c>
    </x:row>
    <x:row r="30" ht="27" customHeight="1">
      <x:c r="A30" s="39"/>
      <x:c r="B30" s="29"/>
      <x:c r="C30" s="29"/>
      <x:c r="D30" s="29"/>
      <x:c r="E30" s="29"/>
      <x:c r="F30" s="30"/>
      <x:c r="G30" s="30"/>
      <x:c r="H30" s="30"/>
      <x:c r="I30" s="29"/>
      <x:c r="J30" s="25" t="str">
        <x:f>IF(COUNTA(A30:I30)=0,"",IF(OR(NOT(ISNUMBER(A30)),B30="",AND(C30&lt;&gt;"Sale",C30&lt;&gt;"Purchase",C30&lt;&gt;"Adjustment"),COUNTIFS(Products!$A$6:$A$105,D30)&lt;&gt;1,NOT(ISNUMBER(E30)),E30=0,AND(C30&lt;&gt;"Adjustment",E30&lt;0)),"Check inputs",IF(AND(C30="Sale",OR(NOT(ISNUMBER(F30)),NOT(ISNUMBER(G30)),NOT(ISNUMBER(H30)),F30&lt;0,G30&lt;0,H30&lt;0,G30&gt;E30*F30)),"Check sale amounts","OK")))</x:f>
      </x:c>
      <x:c r="K30" s="26" t="str">
        <x:f>IF(J30="","",IF(J30&lt;&gt;"OK","Fix row",IF(C30="Sale",E30*F30-G30,0)))</x:f>
      </x:c>
      <x:c r="L30" s="26" t="str">
        <x:f>IF(J30="","",IF(J30&lt;&gt;"OK","Fix row",IF(C30="Sale",K30-E30*H30,0)))</x:f>
      </x:c>
    </x:row>
    <x:row r="31" ht="27" customHeight="1">
      <x:c r="A31" s="39"/>
      <x:c r="B31" s="29"/>
      <x:c r="C31" s="29"/>
      <x:c r="D31" s="29"/>
      <x:c r="E31" s="29"/>
      <x:c r="F31" s="30"/>
      <x:c r="G31" s="30"/>
      <x:c r="H31" s="30"/>
      <x:c r="I31" s="29"/>
      <x:c r="J31" s="27" t="str">
        <x:f>IF(COUNTA(A31:I31)=0,"",IF(OR(NOT(ISNUMBER(A31)),B31="",AND(C31&lt;&gt;"Sale",C31&lt;&gt;"Purchase",C31&lt;&gt;"Adjustment"),COUNTIFS(Products!$A$6:$A$105,D31)&lt;&gt;1,NOT(ISNUMBER(E31)),E31=0,AND(C31&lt;&gt;"Adjustment",E31&lt;0)),"Check inputs",IF(AND(C31="Sale",OR(NOT(ISNUMBER(F31)),NOT(ISNUMBER(G31)),NOT(ISNUMBER(H31)),F31&lt;0,G31&lt;0,H31&lt;0,G31&gt;E31*F31)),"Check sale amounts","OK")))</x:f>
      </x:c>
      <x:c r="K31" s="28" t="str">
        <x:f>IF(J31="","",IF(J31&lt;&gt;"OK","Fix row",IF(C31="Sale",E31*F31-G31,0)))</x:f>
      </x:c>
      <x:c r="L31" s="28" t="str">
        <x:f>IF(J31="","",IF(J31&lt;&gt;"OK","Fix row",IF(C31="Sale",K31-E31*H31,0)))</x:f>
      </x:c>
    </x:row>
    <x:row r="32" ht="27" customHeight="1">
      <x:c r="A32" s="39"/>
      <x:c r="B32" s="29"/>
      <x:c r="C32" s="29"/>
      <x:c r="D32" s="29"/>
      <x:c r="E32" s="29"/>
      <x:c r="F32" s="30"/>
      <x:c r="G32" s="30"/>
      <x:c r="H32" s="30"/>
      <x:c r="I32" s="29"/>
      <x:c r="J32" s="25" t="str">
        <x:f>IF(COUNTA(A32:I32)=0,"",IF(OR(NOT(ISNUMBER(A32)),B32="",AND(C32&lt;&gt;"Sale",C32&lt;&gt;"Purchase",C32&lt;&gt;"Adjustment"),COUNTIFS(Products!$A$6:$A$105,D32)&lt;&gt;1,NOT(ISNUMBER(E32)),E32=0,AND(C32&lt;&gt;"Adjustment",E32&lt;0)),"Check inputs",IF(AND(C32="Sale",OR(NOT(ISNUMBER(F32)),NOT(ISNUMBER(G32)),NOT(ISNUMBER(H32)),F32&lt;0,G32&lt;0,H32&lt;0,G32&gt;E32*F32)),"Check sale amounts","OK")))</x:f>
      </x:c>
      <x:c r="K32" s="26" t="str">
        <x:f>IF(J32="","",IF(J32&lt;&gt;"OK","Fix row",IF(C32="Sale",E32*F32-G32,0)))</x:f>
      </x:c>
      <x:c r="L32" s="26" t="str">
        <x:f>IF(J32="","",IF(J32&lt;&gt;"OK","Fix row",IF(C32="Sale",K32-E32*H32,0)))</x:f>
      </x:c>
    </x:row>
    <x:row r="33" ht="27" customHeight="1">
      <x:c r="A33" s="39"/>
      <x:c r="B33" s="29"/>
      <x:c r="C33" s="29"/>
      <x:c r="D33" s="29"/>
      <x:c r="E33" s="29"/>
      <x:c r="F33" s="30"/>
      <x:c r="G33" s="30"/>
      <x:c r="H33" s="30"/>
      <x:c r="I33" s="29"/>
      <x:c r="J33" s="27" t="str">
        <x:f>IF(COUNTA(A33:I33)=0,"",IF(OR(NOT(ISNUMBER(A33)),B33="",AND(C33&lt;&gt;"Sale",C33&lt;&gt;"Purchase",C33&lt;&gt;"Adjustment"),COUNTIFS(Products!$A$6:$A$105,D33)&lt;&gt;1,NOT(ISNUMBER(E33)),E33=0,AND(C33&lt;&gt;"Adjustment",E33&lt;0)),"Check inputs",IF(AND(C33="Sale",OR(NOT(ISNUMBER(F33)),NOT(ISNUMBER(G33)),NOT(ISNUMBER(H33)),F33&lt;0,G33&lt;0,H33&lt;0,G33&gt;E33*F33)),"Check sale amounts","OK")))</x:f>
      </x:c>
      <x:c r="K33" s="28" t="str">
        <x:f>IF(J33="","",IF(J33&lt;&gt;"OK","Fix row",IF(C33="Sale",E33*F33-G33,0)))</x:f>
      </x:c>
      <x:c r="L33" s="28" t="str">
        <x:f>IF(J33="","",IF(J33&lt;&gt;"OK","Fix row",IF(C33="Sale",K33-E33*H33,0)))</x:f>
      </x:c>
    </x:row>
    <x:row r="34" ht="27" customHeight="1">
      <x:c r="A34" s="39"/>
      <x:c r="B34" s="29"/>
      <x:c r="C34" s="29"/>
      <x:c r="D34" s="29"/>
      <x:c r="E34" s="29"/>
      <x:c r="F34" s="30"/>
      <x:c r="G34" s="30"/>
      <x:c r="H34" s="30"/>
      <x:c r="I34" s="29"/>
      <x:c r="J34" s="25" t="str">
        <x:f>IF(COUNTA(A34:I34)=0,"",IF(OR(NOT(ISNUMBER(A34)),B34="",AND(C34&lt;&gt;"Sale",C34&lt;&gt;"Purchase",C34&lt;&gt;"Adjustment"),COUNTIFS(Products!$A$6:$A$105,D34)&lt;&gt;1,NOT(ISNUMBER(E34)),E34=0,AND(C34&lt;&gt;"Adjustment",E34&lt;0)),"Check inputs",IF(AND(C34="Sale",OR(NOT(ISNUMBER(F34)),NOT(ISNUMBER(G34)),NOT(ISNUMBER(H34)),F34&lt;0,G34&lt;0,H34&lt;0,G34&gt;E34*F34)),"Check sale amounts","OK")))</x:f>
      </x:c>
      <x:c r="K34" s="26" t="str">
        <x:f>IF(J34="","",IF(J34&lt;&gt;"OK","Fix row",IF(C34="Sale",E34*F34-G34,0)))</x:f>
      </x:c>
      <x:c r="L34" s="26" t="str">
        <x:f>IF(J34="","",IF(J34&lt;&gt;"OK","Fix row",IF(C34="Sale",K34-E34*H34,0)))</x:f>
      </x:c>
    </x:row>
    <x:row r="35" ht="27" customHeight="1">
      <x:c r="A35" s="39"/>
      <x:c r="B35" s="29"/>
      <x:c r="C35" s="29"/>
      <x:c r="D35" s="29"/>
      <x:c r="E35" s="29"/>
      <x:c r="F35" s="30"/>
      <x:c r="G35" s="30"/>
      <x:c r="H35" s="30"/>
      <x:c r="I35" s="29"/>
      <x:c r="J35" s="27" t="str">
        <x:f>IF(COUNTA(A35:I35)=0,"",IF(OR(NOT(ISNUMBER(A35)),B35="",AND(C35&lt;&gt;"Sale",C35&lt;&gt;"Purchase",C35&lt;&gt;"Adjustment"),COUNTIFS(Products!$A$6:$A$105,D35)&lt;&gt;1,NOT(ISNUMBER(E35)),E35=0,AND(C35&lt;&gt;"Adjustment",E35&lt;0)),"Check inputs",IF(AND(C35="Sale",OR(NOT(ISNUMBER(F35)),NOT(ISNUMBER(G35)),NOT(ISNUMBER(H35)),F35&lt;0,G35&lt;0,H35&lt;0,G35&gt;E35*F35)),"Check sale amounts","OK")))</x:f>
      </x:c>
      <x:c r="K35" s="28" t="str">
        <x:f>IF(J35="","",IF(J35&lt;&gt;"OK","Fix row",IF(C35="Sale",E35*F35-G35,0)))</x:f>
      </x:c>
      <x:c r="L35" s="28" t="str">
        <x:f>IF(J35="","",IF(J35&lt;&gt;"OK","Fix row",IF(C35="Sale",K35-E35*H35,0)))</x:f>
      </x:c>
    </x:row>
    <x:row r="36" ht="27" customHeight="1">
      <x:c r="A36" s="39"/>
      <x:c r="B36" s="29"/>
      <x:c r="C36" s="29"/>
      <x:c r="D36" s="29"/>
      <x:c r="E36" s="29"/>
      <x:c r="F36" s="30"/>
      <x:c r="G36" s="30"/>
      <x:c r="H36" s="30"/>
      <x:c r="I36" s="29"/>
      <x:c r="J36" s="25" t="str">
        <x:f>IF(COUNTA(A36:I36)=0,"",IF(OR(NOT(ISNUMBER(A36)),B36="",AND(C36&lt;&gt;"Sale",C36&lt;&gt;"Purchase",C36&lt;&gt;"Adjustment"),COUNTIFS(Products!$A$6:$A$105,D36)&lt;&gt;1,NOT(ISNUMBER(E36)),E36=0,AND(C36&lt;&gt;"Adjustment",E36&lt;0)),"Check inputs",IF(AND(C36="Sale",OR(NOT(ISNUMBER(F36)),NOT(ISNUMBER(G36)),NOT(ISNUMBER(H36)),F36&lt;0,G36&lt;0,H36&lt;0,G36&gt;E36*F36)),"Check sale amounts","OK")))</x:f>
      </x:c>
      <x:c r="K36" s="26" t="str">
        <x:f>IF(J36="","",IF(J36&lt;&gt;"OK","Fix row",IF(C36="Sale",E36*F36-G36,0)))</x:f>
      </x:c>
      <x:c r="L36" s="26" t="str">
        <x:f>IF(J36="","",IF(J36&lt;&gt;"OK","Fix row",IF(C36="Sale",K36-E36*H36,0)))</x:f>
      </x:c>
    </x:row>
    <x:row r="37" ht="27" customHeight="1">
      <x:c r="A37" s="39"/>
      <x:c r="B37" s="29"/>
      <x:c r="C37" s="29"/>
      <x:c r="D37" s="29"/>
      <x:c r="E37" s="29"/>
      <x:c r="F37" s="30"/>
      <x:c r="G37" s="30"/>
      <x:c r="H37" s="30"/>
      <x:c r="I37" s="29"/>
      <x:c r="J37" s="27" t="str">
        <x:f>IF(COUNTA(A37:I37)=0,"",IF(OR(NOT(ISNUMBER(A37)),B37="",AND(C37&lt;&gt;"Sale",C37&lt;&gt;"Purchase",C37&lt;&gt;"Adjustment"),COUNTIFS(Products!$A$6:$A$105,D37)&lt;&gt;1,NOT(ISNUMBER(E37)),E37=0,AND(C37&lt;&gt;"Adjustment",E37&lt;0)),"Check inputs",IF(AND(C37="Sale",OR(NOT(ISNUMBER(F37)),NOT(ISNUMBER(G37)),NOT(ISNUMBER(H37)),F37&lt;0,G37&lt;0,H37&lt;0,G37&gt;E37*F37)),"Check sale amounts","OK")))</x:f>
      </x:c>
      <x:c r="K37" s="28" t="str">
        <x:f>IF(J37="","",IF(J37&lt;&gt;"OK","Fix row",IF(C37="Sale",E37*F37-G37,0)))</x:f>
      </x:c>
      <x:c r="L37" s="28" t="str">
        <x:f>IF(J37="","",IF(J37&lt;&gt;"OK","Fix row",IF(C37="Sale",K37-E37*H37,0)))</x:f>
      </x:c>
    </x:row>
    <x:row r="38" ht="27" customHeight="1">
      <x:c r="A38" s="39"/>
      <x:c r="B38" s="29"/>
      <x:c r="C38" s="29"/>
      <x:c r="D38" s="29"/>
      <x:c r="E38" s="29"/>
      <x:c r="F38" s="30"/>
      <x:c r="G38" s="30"/>
      <x:c r="H38" s="30"/>
      <x:c r="I38" s="29"/>
      <x:c r="J38" s="25" t="str">
        <x:f>IF(COUNTA(A38:I38)=0,"",IF(OR(NOT(ISNUMBER(A38)),B38="",AND(C38&lt;&gt;"Sale",C38&lt;&gt;"Purchase",C38&lt;&gt;"Adjustment"),COUNTIFS(Products!$A$6:$A$105,D38)&lt;&gt;1,NOT(ISNUMBER(E38)),E38=0,AND(C38&lt;&gt;"Adjustment",E38&lt;0)),"Check inputs",IF(AND(C38="Sale",OR(NOT(ISNUMBER(F38)),NOT(ISNUMBER(G38)),NOT(ISNUMBER(H38)),F38&lt;0,G38&lt;0,H38&lt;0,G38&gt;E38*F38)),"Check sale amounts","OK")))</x:f>
      </x:c>
      <x:c r="K38" s="26" t="str">
        <x:f>IF(J38="","",IF(J38&lt;&gt;"OK","Fix row",IF(C38="Sale",E38*F38-G38,0)))</x:f>
      </x:c>
      <x:c r="L38" s="26" t="str">
        <x:f>IF(J38="","",IF(J38&lt;&gt;"OK","Fix row",IF(C38="Sale",K38-E38*H38,0)))</x:f>
      </x:c>
    </x:row>
    <x:row r="39" ht="27" customHeight="1">
      <x:c r="A39" s="39"/>
      <x:c r="B39" s="29"/>
      <x:c r="C39" s="29"/>
      <x:c r="D39" s="29"/>
      <x:c r="E39" s="29"/>
      <x:c r="F39" s="30"/>
      <x:c r="G39" s="30"/>
      <x:c r="H39" s="30"/>
      <x:c r="I39" s="29"/>
      <x:c r="J39" s="27" t="str">
        <x:f>IF(COUNTA(A39:I39)=0,"",IF(OR(NOT(ISNUMBER(A39)),B39="",AND(C39&lt;&gt;"Sale",C39&lt;&gt;"Purchase",C39&lt;&gt;"Adjustment"),COUNTIFS(Products!$A$6:$A$105,D39)&lt;&gt;1,NOT(ISNUMBER(E39)),E39=0,AND(C39&lt;&gt;"Adjustment",E39&lt;0)),"Check inputs",IF(AND(C39="Sale",OR(NOT(ISNUMBER(F39)),NOT(ISNUMBER(G39)),NOT(ISNUMBER(H39)),F39&lt;0,G39&lt;0,H39&lt;0,G39&gt;E39*F39)),"Check sale amounts","OK")))</x:f>
      </x:c>
      <x:c r="K39" s="28" t="str">
        <x:f>IF(J39="","",IF(J39&lt;&gt;"OK","Fix row",IF(C39="Sale",E39*F39-G39,0)))</x:f>
      </x:c>
      <x:c r="L39" s="28" t="str">
        <x:f>IF(J39="","",IF(J39&lt;&gt;"OK","Fix row",IF(C39="Sale",K39-E39*H39,0)))</x:f>
      </x:c>
    </x:row>
    <x:row r="40" ht="27" customHeight="1">
      <x:c r="A40" s="39"/>
      <x:c r="B40" s="29"/>
      <x:c r="C40" s="29"/>
      <x:c r="D40" s="29"/>
      <x:c r="E40" s="29"/>
      <x:c r="F40" s="30"/>
      <x:c r="G40" s="30"/>
      <x:c r="H40" s="30"/>
      <x:c r="I40" s="29"/>
      <x:c r="J40" s="25" t="str">
        <x:f>IF(COUNTA(A40:I40)=0,"",IF(OR(NOT(ISNUMBER(A40)),B40="",AND(C40&lt;&gt;"Sale",C40&lt;&gt;"Purchase",C40&lt;&gt;"Adjustment"),COUNTIFS(Products!$A$6:$A$105,D40)&lt;&gt;1,NOT(ISNUMBER(E40)),E40=0,AND(C40&lt;&gt;"Adjustment",E40&lt;0)),"Check inputs",IF(AND(C40="Sale",OR(NOT(ISNUMBER(F40)),NOT(ISNUMBER(G40)),NOT(ISNUMBER(H40)),F40&lt;0,G40&lt;0,H40&lt;0,G40&gt;E40*F40)),"Check sale amounts","OK")))</x:f>
      </x:c>
      <x:c r="K40" s="26" t="str">
        <x:f>IF(J40="","",IF(J40&lt;&gt;"OK","Fix row",IF(C40="Sale",E40*F40-G40,0)))</x:f>
      </x:c>
      <x:c r="L40" s="26" t="str">
        <x:f>IF(J40="","",IF(J40&lt;&gt;"OK","Fix row",IF(C40="Sale",K40-E40*H40,0)))</x:f>
      </x:c>
    </x:row>
    <x:row r="41" ht="27" customHeight="1">
      <x:c r="A41" s="39"/>
      <x:c r="B41" s="29"/>
      <x:c r="C41" s="29"/>
      <x:c r="D41" s="29"/>
      <x:c r="E41" s="29"/>
      <x:c r="F41" s="30"/>
      <x:c r="G41" s="30"/>
      <x:c r="H41" s="30"/>
      <x:c r="I41" s="29"/>
      <x:c r="J41" s="27" t="str">
        <x:f>IF(COUNTA(A41:I41)=0,"",IF(OR(NOT(ISNUMBER(A41)),B41="",AND(C41&lt;&gt;"Sale",C41&lt;&gt;"Purchase",C41&lt;&gt;"Adjustment"),COUNTIFS(Products!$A$6:$A$105,D41)&lt;&gt;1,NOT(ISNUMBER(E41)),E41=0,AND(C41&lt;&gt;"Adjustment",E41&lt;0)),"Check inputs",IF(AND(C41="Sale",OR(NOT(ISNUMBER(F41)),NOT(ISNUMBER(G41)),NOT(ISNUMBER(H41)),F41&lt;0,G41&lt;0,H41&lt;0,G41&gt;E41*F41)),"Check sale amounts","OK")))</x:f>
      </x:c>
      <x:c r="K41" s="28" t="str">
        <x:f>IF(J41="","",IF(J41&lt;&gt;"OK","Fix row",IF(C41="Sale",E41*F41-G41,0)))</x:f>
      </x:c>
      <x:c r="L41" s="28" t="str">
        <x:f>IF(J41="","",IF(J41&lt;&gt;"OK","Fix row",IF(C41="Sale",K41-E41*H41,0)))</x:f>
      </x:c>
    </x:row>
    <x:row r="42" ht="27" customHeight="1">
      <x:c r="A42" s="39"/>
      <x:c r="B42" s="29"/>
      <x:c r="C42" s="29"/>
      <x:c r="D42" s="29"/>
      <x:c r="E42" s="29"/>
      <x:c r="F42" s="30"/>
      <x:c r="G42" s="30"/>
      <x:c r="H42" s="30"/>
      <x:c r="I42" s="29"/>
      <x:c r="J42" s="25" t="str">
        <x:f>IF(COUNTA(A42:I42)=0,"",IF(OR(NOT(ISNUMBER(A42)),B42="",AND(C42&lt;&gt;"Sale",C42&lt;&gt;"Purchase",C42&lt;&gt;"Adjustment"),COUNTIFS(Products!$A$6:$A$105,D42)&lt;&gt;1,NOT(ISNUMBER(E42)),E42=0,AND(C42&lt;&gt;"Adjustment",E42&lt;0)),"Check inputs",IF(AND(C42="Sale",OR(NOT(ISNUMBER(F42)),NOT(ISNUMBER(G42)),NOT(ISNUMBER(H42)),F42&lt;0,G42&lt;0,H42&lt;0,G42&gt;E42*F42)),"Check sale amounts","OK")))</x:f>
      </x:c>
      <x:c r="K42" s="26" t="str">
        <x:f>IF(J42="","",IF(J42&lt;&gt;"OK","Fix row",IF(C42="Sale",E42*F42-G42,0)))</x:f>
      </x:c>
      <x:c r="L42" s="26" t="str">
        <x:f>IF(J42="","",IF(J42&lt;&gt;"OK","Fix row",IF(C42="Sale",K42-E42*H42,0)))</x:f>
      </x:c>
    </x:row>
    <x:row r="43" ht="27" customHeight="1">
      <x:c r="A43" s="39"/>
      <x:c r="B43" s="29"/>
      <x:c r="C43" s="29"/>
      <x:c r="D43" s="29"/>
      <x:c r="E43" s="29"/>
      <x:c r="F43" s="30"/>
      <x:c r="G43" s="30"/>
      <x:c r="H43" s="30"/>
      <x:c r="I43" s="29"/>
      <x:c r="J43" s="27" t="str">
        <x:f>IF(COUNTA(A43:I43)=0,"",IF(OR(NOT(ISNUMBER(A43)),B43="",AND(C43&lt;&gt;"Sale",C43&lt;&gt;"Purchase",C43&lt;&gt;"Adjustment"),COUNTIFS(Products!$A$6:$A$105,D43)&lt;&gt;1,NOT(ISNUMBER(E43)),E43=0,AND(C43&lt;&gt;"Adjustment",E43&lt;0)),"Check inputs",IF(AND(C43="Sale",OR(NOT(ISNUMBER(F43)),NOT(ISNUMBER(G43)),NOT(ISNUMBER(H43)),F43&lt;0,G43&lt;0,H43&lt;0,G43&gt;E43*F43)),"Check sale amounts","OK")))</x:f>
      </x:c>
      <x:c r="K43" s="28" t="str">
        <x:f>IF(J43="","",IF(J43&lt;&gt;"OK","Fix row",IF(C43="Sale",E43*F43-G43,0)))</x:f>
      </x:c>
      <x:c r="L43" s="28" t="str">
        <x:f>IF(J43="","",IF(J43&lt;&gt;"OK","Fix row",IF(C43="Sale",K43-E43*H43,0)))</x:f>
      </x:c>
    </x:row>
    <x:row r="44" ht="27" customHeight="1">
      <x:c r="A44" s="39"/>
      <x:c r="B44" s="29"/>
      <x:c r="C44" s="29"/>
      <x:c r="D44" s="29"/>
      <x:c r="E44" s="29"/>
      <x:c r="F44" s="30"/>
      <x:c r="G44" s="30"/>
      <x:c r="H44" s="30"/>
      <x:c r="I44" s="29"/>
      <x:c r="J44" s="25" t="str">
        <x:f>IF(COUNTA(A44:I44)=0,"",IF(OR(NOT(ISNUMBER(A44)),B44="",AND(C44&lt;&gt;"Sale",C44&lt;&gt;"Purchase",C44&lt;&gt;"Adjustment"),COUNTIFS(Products!$A$6:$A$105,D44)&lt;&gt;1,NOT(ISNUMBER(E44)),E44=0,AND(C44&lt;&gt;"Adjustment",E44&lt;0)),"Check inputs",IF(AND(C44="Sale",OR(NOT(ISNUMBER(F44)),NOT(ISNUMBER(G44)),NOT(ISNUMBER(H44)),F44&lt;0,G44&lt;0,H44&lt;0,G44&gt;E44*F44)),"Check sale amounts","OK")))</x:f>
      </x:c>
      <x:c r="K44" s="26" t="str">
        <x:f>IF(J44="","",IF(J44&lt;&gt;"OK","Fix row",IF(C44="Sale",E44*F44-G44,0)))</x:f>
      </x:c>
      <x:c r="L44" s="26" t="str">
        <x:f>IF(J44="","",IF(J44&lt;&gt;"OK","Fix row",IF(C44="Sale",K44-E44*H44,0)))</x:f>
      </x:c>
    </x:row>
    <x:row r="45" ht="27" customHeight="1">
      <x:c r="A45" s="39"/>
      <x:c r="B45" s="29"/>
      <x:c r="C45" s="29"/>
      <x:c r="D45" s="29"/>
      <x:c r="E45" s="29"/>
      <x:c r="F45" s="30"/>
      <x:c r="G45" s="30"/>
      <x:c r="H45" s="30"/>
      <x:c r="I45" s="29"/>
      <x:c r="J45" s="27" t="str">
        <x:f>IF(COUNTA(A45:I45)=0,"",IF(OR(NOT(ISNUMBER(A45)),B45="",AND(C45&lt;&gt;"Sale",C45&lt;&gt;"Purchase",C45&lt;&gt;"Adjustment"),COUNTIFS(Products!$A$6:$A$105,D45)&lt;&gt;1,NOT(ISNUMBER(E45)),E45=0,AND(C45&lt;&gt;"Adjustment",E45&lt;0)),"Check inputs",IF(AND(C45="Sale",OR(NOT(ISNUMBER(F45)),NOT(ISNUMBER(G45)),NOT(ISNUMBER(H45)),F45&lt;0,G45&lt;0,H45&lt;0,G45&gt;E45*F45)),"Check sale amounts","OK")))</x:f>
      </x:c>
      <x:c r="K45" s="28" t="str">
        <x:f>IF(J45="","",IF(J45&lt;&gt;"OK","Fix row",IF(C45="Sale",E45*F45-G45,0)))</x:f>
      </x:c>
      <x:c r="L45" s="28" t="str">
        <x:f>IF(J45="","",IF(J45&lt;&gt;"OK","Fix row",IF(C45="Sale",K45-E45*H45,0)))</x:f>
      </x:c>
    </x:row>
    <x:row r="46" ht="27" customHeight="1">
      <x:c r="A46" s="39"/>
      <x:c r="B46" s="29"/>
      <x:c r="C46" s="29"/>
      <x:c r="D46" s="29"/>
      <x:c r="E46" s="29"/>
      <x:c r="F46" s="30"/>
      <x:c r="G46" s="30"/>
      <x:c r="H46" s="30"/>
      <x:c r="I46" s="29"/>
      <x:c r="J46" s="25" t="str">
        <x:f>IF(COUNTA(A46:I46)=0,"",IF(OR(NOT(ISNUMBER(A46)),B46="",AND(C46&lt;&gt;"Sale",C46&lt;&gt;"Purchase",C46&lt;&gt;"Adjustment"),COUNTIFS(Products!$A$6:$A$105,D46)&lt;&gt;1,NOT(ISNUMBER(E46)),E46=0,AND(C46&lt;&gt;"Adjustment",E46&lt;0)),"Check inputs",IF(AND(C46="Sale",OR(NOT(ISNUMBER(F46)),NOT(ISNUMBER(G46)),NOT(ISNUMBER(H46)),F46&lt;0,G46&lt;0,H46&lt;0,G46&gt;E46*F46)),"Check sale amounts","OK")))</x:f>
      </x:c>
      <x:c r="K46" s="26" t="str">
        <x:f>IF(J46="","",IF(J46&lt;&gt;"OK","Fix row",IF(C46="Sale",E46*F46-G46,0)))</x:f>
      </x:c>
      <x:c r="L46" s="26" t="str">
        <x:f>IF(J46="","",IF(J46&lt;&gt;"OK","Fix row",IF(C46="Sale",K46-E46*H46,0)))</x:f>
      </x:c>
    </x:row>
    <x:row r="47" ht="27" customHeight="1">
      <x:c r="A47" s="39"/>
      <x:c r="B47" s="29"/>
      <x:c r="C47" s="29"/>
      <x:c r="D47" s="29"/>
      <x:c r="E47" s="29"/>
      <x:c r="F47" s="30"/>
      <x:c r="G47" s="30"/>
      <x:c r="H47" s="30"/>
      <x:c r="I47" s="29"/>
      <x:c r="J47" s="27" t="str">
        <x:f>IF(COUNTA(A47:I47)=0,"",IF(OR(NOT(ISNUMBER(A47)),B47="",AND(C47&lt;&gt;"Sale",C47&lt;&gt;"Purchase",C47&lt;&gt;"Adjustment"),COUNTIFS(Products!$A$6:$A$105,D47)&lt;&gt;1,NOT(ISNUMBER(E47)),E47=0,AND(C47&lt;&gt;"Adjustment",E47&lt;0)),"Check inputs",IF(AND(C47="Sale",OR(NOT(ISNUMBER(F47)),NOT(ISNUMBER(G47)),NOT(ISNUMBER(H47)),F47&lt;0,G47&lt;0,H47&lt;0,G47&gt;E47*F47)),"Check sale amounts","OK")))</x:f>
      </x:c>
      <x:c r="K47" s="28" t="str">
        <x:f>IF(J47="","",IF(J47&lt;&gt;"OK","Fix row",IF(C47="Sale",E47*F47-G47,0)))</x:f>
      </x:c>
      <x:c r="L47" s="28" t="str">
        <x:f>IF(J47="","",IF(J47&lt;&gt;"OK","Fix row",IF(C47="Sale",K47-E47*H47,0)))</x:f>
      </x:c>
    </x:row>
    <x:row r="48" ht="27" customHeight="1">
      <x:c r="A48" s="39"/>
      <x:c r="B48" s="29"/>
      <x:c r="C48" s="29"/>
      <x:c r="D48" s="29"/>
      <x:c r="E48" s="29"/>
      <x:c r="F48" s="30"/>
      <x:c r="G48" s="30"/>
      <x:c r="H48" s="30"/>
      <x:c r="I48" s="29"/>
      <x:c r="J48" s="25" t="str">
        <x:f>IF(COUNTA(A48:I48)=0,"",IF(OR(NOT(ISNUMBER(A48)),B48="",AND(C48&lt;&gt;"Sale",C48&lt;&gt;"Purchase",C48&lt;&gt;"Adjustment"),COUNTIFS(Products!$A$6:$A$105,D48)&lt;&gt;1,NOT(ISNUMBER(E48)),E48=0,AND(C48&lt;&gt;"Adjustment",E48&lt;0)),"Check inputs",IF(AND(C48="Sale",OR(NOT(ISNUMBER(F48)),NOT(ISNUMBER(G48)),NOT(ISNUMBER(H48)),F48&lt;0,G48&lt;0,H48&lt;0,G48&gt;E48*F48)),"Check sale amounts","OK")))</x:f>
      </x:c>
      <x:c r="K48" s="26" t="str">
        <x:f>IF(J48="","",IF(J48&lt;&gt;"OK","Fix row",IF(C48="Sale",E48*F48-G48,0)))</x:f>
      </x:c>
      <x:c r="L48" s="26" t="str">
        <x:f>IF(J48="","",IF(J48&lt;&gt;"OK","Fix row",IF(C48="Sale",K48-E48*H48,0)))</x:f>
      </x:c>
    </x:row>
    <x:row r="49" ht="27" customHeight="1">
      <x:c r="A49" s="39"/>
      <x:c r="B49" s="29"/>
      <x:c r="C49" s="29"/>
      <x:c r="D49" s="29"/>
      <x:c r="E49" s="29"/>
      <x:c r="F49" s="30"/>
      <x:c r="G49" s="30"/>
      <x:c r="H49" s="30"/>
      <x:c r="I49" s="29"/>
      <x:c r="J49" s="27" t="str">
        <x:f>IF(COUNTA(A49:I49)=0,"",IF(OR(NOT(ISNUMBER(A49)),B49="",AND(C49&lt;&gt;"Sale",C49&lt;&gt;"Purchase",C49&lt;&gt;"Adjustment"),COUNTIFS(Products!$A$6:$A$105,D49)&lt;&gt;1,NOT(ISNUMBER(E49)),E49=0,AND(C49&lt;&gt;"Adjustment",E49&lt;0)),"Check inputs",IF(AND(C49="Sale",OR(NOT(ISNUMBER(F49)),NOT(ISNUMBER(G49)),NOT(ISNUMBER(H49)),F49&lt;0,G49&lt;0,H49&lt;0,G49&gt;E49*F49)),"Check sale amounts","OK")))</x:f>
      </x:c>
      <x:c r="K49" s="28" t="str">
        <x:f>IF(J49="","",IF(J49&lt;&gt;"OK","Fix row",IF(C49="Sale",E49*F49-G49,0)))</x:f>
      </x:c>
      <x:c r="L49" s="28" t="str">
        <x:f>IF(J49="","",IF(J49&lt;&gt;"OK","Fix row",IF(C49="Sale",K49-E49*H49,0)))</x:f>
      </x:c>
    </x:row>
    <x:row r="50" ht="27" customHeight="1">
      <x:c r="A50" s="39"/>
      <x:c r="B50" s="29"/>
      <x:c r="C50" s="29"/>
      <x:c r="D50" s="29"/>
      <x:c r="E50" s="29"/>
      <x:c r="F50" s="30"/>
      <x:c r="G50" s="30"/>
      <x:c r="H50" s="30"/>
      <x:c r="I50" s="29"/>
      <x:c r="J50" s="25" t="str">
        <x:f>IF(COUNTA(A50:I50)=0,"",IF(OR(NOT(ISNUMBER(A50)),B50="",AND(C50&lt;&gt;"Sale",C50&lt;&gt;"Purchase",C50&lt;&gt;"Adjustment"),COUNTIFS(Products!$A$6:$A$105,D50)&lt;&gt;1,NOT(ISNUMBER(E50)),E50=0,AND(C50&lt;&gt;"Adjustment",E50&lt;0)),"Check inputs",IF(AND(C50="Sale",OR(NOT(ISNUMBER(F50)),NOT(ISNUMBER(G50)),NOT(ISNUMBER(H50)),F50&lt;0,G50&lt;0,H50&lt;0,G50&gt;E50*F50)),"Check sale amounts","OK")))</x:f>
      </x:c>
      <x:c r="K50" s="26" t="str">
        <x:f>IF(J50="","",IF(J50&lt;&gt;"OK","Fix row",IF(C50="Sale",E50*F50-G50,0)))</x:f>
      </x:c>
      <x:c r="L50" s="26" t="str">
        <x:f>IF(J50="","",IF(J50&lt;&gt;"OK","Fix row",IF(C50="Sale",K50-E50*H50,0)))</x:f>
      </x:c>
    </x:row>
    <x:row r="51" ht="27" customHeight="1">
      <x:c r="A51" s="39"/>
      <x:c r="B51" s="29"/>
      <x:c r="C51" s="29"/>
      <x:c r="D51" s="29"/>
      <x:c r="E51" s="29"/>
      <x:c r="F51" s="30"/>
      <x:c r="G51" s="30"/>
      <x:c r="H51" s="30"/>
      <x:c r="I51" s="29"/>
      <x:c r="J51" s="27" t="str">
        <x:f>IF(COUNTA(A51:I51)=0,"",IF(OR(NOT(ISNUMBER(A51)),B51="",AND(C51&lt;&gt;"Sale",C51&lt;&gt;"Purchase",C51&lt;&gt;"Adjustment"),COUNTIFS(Products!$A$6:$A$105,D51)&lt;&gt;1,NOT(ISNUMBER(E51)),E51=0,AND(C51&lt;&gt;"Adjustment",E51&lt;0)),"Check inputs",IF(AND(C51="Sale",OR(NOT(ISNUMBER(F51)),NOT(ISNUMBER(G51)),NOT(ISNUMBER(H51)),F51&lt;0,G51&lt;0,H51&lt;0,G51&gt;E51*F51)),"Check sale amounts","OK")))</x:f>
      </x:c>
      <x:c r="K51" s="28" t="str">
        <x:f>IF(J51="","",IF(J51&lt;&gt;"OK","Fix row",IF(C51="Sale",E51*F51-G51,0)))</x:f>
      </x:c>
      <x:c r="L51" s="28" t="str">
        <x:f>IF(J51="","",IF(J51&lt;&gt;"OK","Fix row",IF(C51="Sale",K51-E51*H51,0)))</x:f>
      </x:c>
    </x:row>
    <x:row r="52" ht="27" customHeight="1">
      <x:c r="A52" s="39"/>
      <x:c r="B52" s="29"/>
      <x:c r="C52" s="29"/>
      <x:c r="D52" s="29"/>
      <x:c r="E52" s="29"/>
      <x:c r="F52" s="30"/>
      <x:c r="G52" s="30"/>
      <x:c r="H52" s="30"/>
      <x:c r="I52" s="29"/>
      <x:c r="J52" s="25" t="str">
        <x:f>IF(COUNTA(A52:I52)=0,"",IF(OR(NOT(ISNUMBER(A52)),B52="",AND(C52&lt;&gt;"Sale",C52&lt;&gt;"Purchase",C52&lt;&gt;"Adjustment"),COUNTIFS(Products!$A$6:$A$105,D52)&lt;&gt;1,NOT(ISNUMBER(E52)),E52=0,AND(C52&lt;&gt;"Adjustment",E52&lt;0)),"Check inputs",IF(AND(C52="Sale",OR(NOT(ISNUMBER(F52)),NOT(ISNUMBER(G52)),NOT(ISNUMBER(H52)),F52&lt;0,G52&lt;0,H52&lt;0,G52&gt;E52*F52)),"Check sale amounts","OK")))</x:f>
      </x:c>
      <x:c r="K52" s="26" t="str">
        <x:f>IF(J52="","",IF(J52&lt;&gt;"OK","Fix row",IF(C52="Sale",E52*F52-G52,0)))</x:f>
      </x:c>
      <x:c r="L52" s="26" t="str">
        <x:f>IF(J52="","",IF(J52&lt;&gt;"OK","Fix row",IF(C52="Sale",K52-E52*H52,0)))</x:f>
      </x:c>
    </x:row>
    <x:row r="53" ht="27" customHeight="1">
      <x:c r="A53" s="39"/>
      <x:c r="B53" s="29"/>
      <x:c r="C53" s="29"/>
      <x:c r="D53" s="29"/>
      <x:c r="E53" s="29"/>
      <x:c r="F53" s="30"/>
      <x:c r="G53" s="30"/>
      <x:c r="H53" s="30"/>
      <x:c r="I53" s="29"/>
      <x:c r="J53" s="27" t="str">
        <x:f>IF(COUNTA(A53:I53)=0,"",IF(OR(NOT(ISNUMBER(A53)),B53="",AND(C53&lt;&gt;"Sale",C53&lt;&gt;"Purchase",C53&lt;&gt;"Adjustment"),COUNTIFS(Products!$A$6:$A$105,D53)&lt;&gt;1,NOT(ISNUMBER(E53)),E53=0,AND(C53&lt;&gt;"Adjustment",E53&lt;0)),"Check inputs",IF(AND(C53="Sale",OR(NOT(ISNUMBER(F53)),NOT(ISNUMBER(G53)),NOT(ISNUMBER(H53)),F53&lt;0,G53&lt;0,H53&lt;0,G53&gt;E53*F53)),"Check sale amounts","OK")))</x:f>
      </x:c>
      <x:c r="K53" s="28" t="str">
        <x:f>IF(J53="","",IF(J53&lt;&gt;"OK","Fix row",IF(C53="Sale",E53*F53-G53,0)))</x:f>
      </x:c>
      <x:c r="L53" s="28" t="str">
        <x:f>IF(J53="","",IF(J53&lt;&gt;"OK","Fix row",IF(C53="Sale",K53-E53*H53,0)))</x:f>
      </x:c>
    </x:row>
    <x:row r="54" ht="27" customHeight="1">
      <x:c r="A54" s="39"/>
      <x:c r="B54" s="29"/>
      <x:c r="C54" s="29"/>
      <x:c r="D54" s="29"/>
      <x:c r="E54" s="29"/>
      <x:c r="F54" s="30"/>
      <x:c r="G54" s="30"/>
      <x:c r="H54" s="30"/>
      <x:c r="I54" s="29"/>
      <x:c r="J54" s="25" t="str">
        <x:f>IF(COUNTA(A54:I54)=0,"",IF(OR(NOT(ISNUMBER(A54)),B54="",AND(C54&lt;&gt;"Sale",C54&lt;&gt;"Purchase",C54&lt;&gt;"Adjustment"),COUNTIFS(Products!$A$6:$A$105,D54)&lt;&gt;1,NOT(ISNUMBER(E54)),E54=0,AND(C54&lt;&gt;"Adjustment",E54&lt;0)),"Check inputs",IF(AND(C54="Sale",OR(NOT(ISNUMBER(F54)),NOT(ISNUMBER(G54)),NOT(ISNUMBER(H54)),F54&lt;0,G54&lt;0,H54&lt;0,G54&gt;E54*F54)),"Check sale amounts","OK")))</x:f>
      </x:c>
      <x:c r="K54" s="26" t="str">
        <x:f>IF(J54="","",IF(J54&lt;&gt;"OK","Fix row",IF(C54="Sale",E54*F54-G54,0)))</x:f>
      </x:c>
      <x:c r="L54" s="26" t="str">
        <x:f>IF(J54="","",IF(J54&lt;&gt;"OK","Fix row",IF(C54="Sale",K54-E54*H54,0)))</x:f>
      </x:c>
    </x:row>
    <x:row r="55" ht="27" customHeight="1">
      <x:c r="A55" s="39"/>
      <x:c r="B55" s="29"/>
      <x:c r="C55" s="29"/>
      <x:c r="D55" s="29"/>
      <x:c r="E55" s="29"/>
      <x:c r="F55" s="30"/>
      <x:c r="G55" s="30"/>
      <x:c r="H55" s="30"/>
      <x:c r="I55" s="29"/>
      <x:c r="J55" s="27" t="str">
        <x:f>IF(COUNTA(A55:I55)=0,"",IF(OR(NOT(ISNUMBER(A55)),B55="",AND(C55&lt;&gt;"Sale",C55&lt;&gt;"Purchase",C55&lt;&gt;"Adjustment"),COUNTIFS(Products!$A$6:$A$105,D55)&lt;&gt;1,NOT(ISNUMBER(E55)),E55=0,AND(C55&lt;&gt;"Adjustment",E55&lt;0)),"Check inputs",IF(AND(C55="Sale",OR(NOT(ISNUMBER(F55)),NOT(ISNUMBER(G55)),NOT(ISNUMBER(H55)),F55&lt;0,G55&lt;0,H55&lt;0,G55&gt;E55*F55)),"Check sale amounts","OK")))</x:f>
      </x:c>
      <x:c r="K55" s="28" t="str">
        <x:f>IF(J55="","",IF(J55&lt;&gt;"OK","Fix row",IF(C55="Sale",E55*F55-G55,0)))</x:f>
      </x:c>
      <x:c r="L55" s="28" t="str">
        <x:f>IF(J55="","",IF(J55&lt;&gt;"OK","Fix row",IF(C55="Sale",K55-E55*H55,0)))</x:f>
      </x:c>
    </x:row>
    <x:row r="56" ht="27" customHeight="1">
      <x:c r="A56" s="39"/>
      <x:c r="B56" s="29"/>
      <x:c r="C56" s="29"/>
      <x:c r="D56" s="29"/>
      <x:c r="E56" s="29"/>
      <x:c r="F56" s="30"/>
      <x:c r="G56" s="30"/>
      <x:c r="H56" s="30"/>
      <x:c r="I56" s="29"/>
      <x:c r="J56" s="25" t="str">
        <x:f>IF(COUNTA(A56:I56)=0,"",IF(OR(NOT(ISNUMBER(A56)),B56="",AND(C56&lt;&gt;"Sale",C56&lt;&gt;"Purchase",C56&lt;&gt;"Adjustment"),COUNTIFS(Products!$A$6:$A$105,D56)&lt;&gt;1,NOT(ISNUMBER(E56)),E56=0,AND(C56&lt;&gt;"Adjustment",E56&lt;0)),"Check inputs",IF(AND(C56="Sale",OR(NOT(ISNUMBER(F56)),NOT(ISNUMBER(G56)),NOT(ISNUMBER(H56)),F56&lt;0,G56&lt;0,H56&lt;0,G56&gt;E56*F56)),"Check sale amounts","OK")))</x:f>
      </x:c>
      <x:c r="K56" s="26" t="str">
        <x:f>IF(J56="","",IF(J56&lt;&gt;"OK","Fix row",IF(C56="Sale",E56*F56-G56,0)))</x:f>
      </x:c>
      <x:c r="L56" s="26" t="str">
        <x:f>IF(J56="","",IF(J56&lt;&gt;"OK","Fix row",IF(C56="Sale",K56-E56*H56,0)))</x:f>
      </x:c>
    </x:row>
    <x:row r="57" ht="27" customHeight="1">
      <x:c r="A57" s="39"/>
      <x:c r="B57" s="29"/>
      <x:c r="C57" s="29"/>
      <x:c r="D57" s="29"/>
      <x:c r="E57" s="29"/>
      <x:c r="F57" s="30"/>
      <x:c r="G57" s="30"/>
      <x:c r="H57" s="30"/>
      <x:c r="I57" s="29"/>
      <x:c r="J57" s="27" t="str">
        <x:f>IF(COUNTA(A57:I57)=0,"",IF(OR(NOT(ISNUMBER(A57)),B57="",AND(C57&lt;&gt;"Sale",C57&lt;&gt;"Purchase",C57&lt;&gt;"Adjustment"),COUNTIFS(Products!$A$6:$A$105,D57)&lt;&gt;1,NOT(ISNUMBER(E57)),E57=0,AND(C57&lt;&gt;"Adjustment",E57&lt;0)),"Check inputs",IF(AND(C57="Sale",OR(NOT(ISNUMBER(F57)),NOT(ISNUMBER(G57)),NOT(ISNUMBER(H57)),F57&lt;0,G57&lt;0,H57&lt;0,G57&gt;E57*F57)),"Check sale amounts","OK")))</x:f>
      </x:c>
      <x:c r="K57" s="28" t="str">
        <x:f>IF(J57="","",IF(J57&lt;&gt;"OK","Fix row",IF(C57="Sale",E57*F57-G57,0)))</x:f>
      </x:c>
      <x:c r="L57" s="28" t="str">
        <x:f>IF(J57="","",IF(J57&lt;&gt;"OK","Fix row",IF(C57="Sale",K57-E57*H57,0)))</x:f>
      </x:c>
    </x:row>
    <x:row r="58" ht="27" customHeight="1">
      <x:c r="A58" s="39"/>
      <x:c r="B58" s="29"/>
      <x:c r="C58" s="29"/>
      <x:c r="D58" s="29"/>
      <x:c r="E58" s="29"/>
      <x:c r="F58" s="30"/>
      <x:c r="G58" s="30"/>
      <x:c r="H58" s="30"/>
      <x:c r="I58" s="29"/>
      <x:c r="J58" s="25" t="str">
        <x:f>IF(COUNTA(A58:I58)=0,"",IF(OR(NOT(ISNUMBER(A58)),B58="",AND(C58&lt;&gt;"Sale",C58&lt;&gt;"Purchase",C58&lt;&gt;"Adjustment"),COUNTIFS(Products!$A$6:$A$105,D58)&lt;&gt;1,NOT(ISNUMBER(E58)),E58=0,AND(C58&lt;&gt;"Adjustment",E58&lt;0)),"Check inputs",IF(AND(C58="Sale",OR(NOT(ISNUMBER(F58)),NOT(ISNUMBER(G58)),NOT(ISNUMBER(H58)),F58&lt;0,G58&lt;0,H58&lt;0,G58&gt;E58*F58)),"Check sale amounts","OK")))</x:f>
      </x:c>
      <x:c r="K58" s="26" t="str">
        <x:f>IF(J58="","",IF(J58&lt;&gt;"OK","Fix row",IF(C58="Sale",E58*F58-G58,0)))</x:f>
      </x:c>
      <x:c r="L58" s="26" t="str">
        <x:f>IF(J58="","",IF(J58&lt;&gt;"OK","Fix row",IF(C58="Sale",K58-E58*H58,0)))</x:f>
      </x:c>
    </x:row>
    <x:row r="59" ht="27" customHeight="1">
      <x:c r="A59" s="39"/>
      <x:c r="B59" s="29"/>
      <x:c r="C59" s="29"/>
      <x:c r="D59" s="29"/>
      <x:c r="E59" s="29"/>
      <x:c r="F59" s="30"/>
      <x:c r="G59" s="30"/>
      <x:c r="H59" s="30"/>
      <x:c r="I59" s="29"/>
      <x:c r="J59" s="27" t="str">
        <x:f>IF(COUNTA(A59:I59)=0,"",IF(OR(NOT(ISNUMBER(A59)),B59="",AND(C59&lt;&gt;"Sale",C59&lt;&gt;"Purchase",C59&lt;&gt;"Adjustment"),COUNTIFS(Products!$A$6:$A$105,D59)&lt;&gt;1,NOT(ISNUMBER(E59)),E59=0,AND(C59&lt;&gt;"Adjustment",E59&lt;0)),"Check inputs",IF(AND(C59="Sale",OR(NOT(ISNUMBER(F59)),NOT(ISNUMBER(G59)),NOT(ISNUMBER(H59)),F59&lt;0,G59&lt;0,H59&lt;0,G59&gt;E59*F59)),"Check sale amounts","OK")))</x:f>
      </x:c>
      <x:c r="K59" s="28" t="str">
        <x:f>IF(J59="","",IF(J59&lt;&gt;"OK","Fix row",IF(C59="Sale",E59*F59-G59,0)))</x:f>
      </x:c>
      <x:c r="L59" s="28" t="str">
        <x:f>IF(J59="","",IF(J59&lt;&gt;"OK","Fix row",IF(C59="Sale",K59-E59*H59,0)))</x:f>
      </x:c>
    </x:row>
    <x:row r="60" ht="27" customHeight="1">
      <x:c r="A60" s="39"/>
      <x:c r="B60" s="29"/>
      <x:c r="C60" s="29"/>
      <x:c r="D60" s="29"/>
      <x:c r="E60" s="29"/>
      <x:c r="F60" s="30"/>
      <x:c r="G60" s="30"/>
      <x:c r="H60" s="30"/>
      <x:c r="I60" s="29"/>
      <x:c r="J60" s="25" t="str">
        <x:f>IF(COUNTA(A60:I60)=0,"",IF(OR(NOT(ISNUMBER(A60)),B60="",AND(C60&lt;&gt;"Sale",C60&lt;&gt;"Purchase",C60&lt;&gt;"Adjustment"),COUNTIFS(Products!$A$6:$A$105,D60)&lt;&gt;1,NOT(ISNUMBER(E60)),E60=0,AND(C60&lt;&gt;"Adjustment",E60&lt;0)),"Check inputs",IF(AND(C60="Sale",OR(NOT(ISNUMBER(F60)),NOT(ISNUMBER(G60)),NOT(ISNUMBER(H60)),F60&lt;0,G60&lt;0,H60&lt;0,G60&gt;E60*F60)),"Check sale amounts","OK")))</x:f>
      </x:c>
      <x:c r="K60" s="26" t="str">
        <x:f>IF(J60="","",IF(J60&lt;&gt;"OK","Fix row",IF(C60="Sale",E60*F60-G60,0)))</x:f>
      </x:c>
      <x:c r="L60" s="26" t="str">
        <x:f>IF(J60="","",IF(J60&lt;&gt;"OK","Fix row",IF(C60="Sale",K60-E60*H60,0)))</x:f>
      </x:c>
    </x:row>
    <x:row r="61" ht="27" customHeight="1">
      <x:c r="A61" s="39"/>
      <x:c r="B61" s="29"/>
      <x:c r="C61" s="29"/>
      <x:c r="D61" s="29"/>
      <x:c r="E61" s="29"/>
      <x:c r="F61" s="30"/>
      <x:c r="G61" s="30"/>
      <x:c r="H61" s="30"/>
      <x:c r="I61" s="29"/>
      <x:c r="J61" s="27" t="str">
        <x:f>IF(COUNTA(A61:I61)=0,"",IF(OR(NOT(ISNUMBER(A61)),B61="",AND(C61&lt;&gt;"Sale",C61&lt;&gt;"Purchase",C61&lt;&gt;"Adjustment"),COUNTIFS(Products!$A$6:$A$105,D61)&lt;&gt;1,NOT(ISNUMBER(E61)),E61=0,AND(C61&lt;&gt;"Adjustment",E61&lt;0)),"Check inputs",IF(AND(C61="Sale",OR(NOT(ISNUMBER(F61)),NOT(ISNUMBER(G61)),NOT(ISNUMBER(H61)),F61&lt;0,G61&lt;0,H61&lt;0,G61&gt;E61*F61)),"Check sale amounts","OK")))</x:f>
      </x:c>
      <x:c r="K61" s="28" t="str">
        <x:f>IF(J61="","",IF(J61&lt;&gt;"OK","Fix row",IF(C61="Sale",E61*F61-G61,0)))</x:f>
      </x:c>
      <x:c r="L61" s="28" t="str">
        <x:f>IF(J61="","",IF(J61&lt;&gt;"OK","Fix row",IF(C61="Sale",K61-E61*H61,0)))</x:f>
      </x:c>
    </x:row>
    <x:row r="62" ht="27" customHeight="1">
      <x:c r="A62" s="39"/>
      <x:c r="B62" s="29"/>
      <x:c r="C62" s="29"/>
      <x:c r="D62" s="29"/>
      <x:c r="E62" s="29"/>
      <x:c r="F62" s="30"/>
      <x:c r="G62" s="30"/>
      <x:c r="H62" s="30"/>
      <x:c r="I62" s="29"/>
      <x:c r="J62" s="25" t="str">
        <x:f>IF(COUNTA(A62:I62)=0,"",IF(OR(NOT(ISNUMBER(A62)),B62="",AND(C62&lt;&gt;"Sale",C62&lt;&gt;"Purchase",C62&lt;&gt;"Adjustment"),COUNTIFS(Products!$A$6:$A$105,D62)&lt;&gt;1,NOT(ISNUMBER(E62)),E62=0,AND(C62&lt;&gt;"Adjustment",E62&lt;0)),"Check inputs",IF(AND(C62="Sale",OR(NOT(ISNUMBER(F62)),NOT(ISNUMBER(G62)),NOT(ISNUMBER(H62)),F62&lt;0,G62&lt;0,H62&lt;0,G62&gt;E62*F62)),"Check sale amounts","OK")))</x:f>
      </x:c>
      <x:c r="K62" s="26" t="str">
        <x:f>IF(J62="","",IF(J62&lt;&gt;"OK","Fix row",IF(C62="Sale",E62*F62-G62,0)))</x:f>
      </x:c>
      <x:c r="L62" s="26" t="str">
        <x:f>IF(J62="","",IF(J62&lt;&gt;"OK","Fix row",IF(C62="Sale",K62-E62*H62,0)))</x:f>
      </x:c>
    </x:row>
    <x:row r="63" ht="27" customHeight="1">
      <x:c r="A63" s="39"/>
      <x:c r="B63" s="29"/>
      <x:c r="C63" s="29"/>
      <x:c r="D63" s="29"/>
      <x:c r="E63" s="29"/>
      <x:c r="F63" s="30"/>
      <x:c r="G63" s="30"/>
      <x:c r="H63" s="30"/>
      <x:c r="I63" s="29"/>
      <x:c r="J63" s="27" t="str">
        <x:f>IF(COUNTA(A63:I63)=0,"",IF(OR(NOT(ISNUMBER(A63)),B63="",AND(C63&lt;&gt;"Sale",C63&lt;&gt;"Purchase",C63&lt;&gt;"Adjustment"),COUNTIFS(Products!$A$6:$A$105,D63)&lt;&gt;1,NOT(ISNUMBER(E63)),E63=0,AND(C63&lt;&gt;"Adjustment",E63&lt;0)),"Check inputs",IF(AND(C63="Sale",OR(NOT(ISNUMBER(F63)),NOT(ISNUMBER(G63)),NOT(ISNUMBER(H63)),F63&lt;0,G63&lt;0,H63&lt;0,G63&gt;E63*F63)),"Check sale amounts","OK")))</x:f>
      </x:c>
      <x:c r="K63" s="28" t="str">
        <x:f>IF(J63="","",IF(J63&lt;&gt;"OK","Fix row",IF(C63="Sale",E63*F63-G63,0)))</x:f>
      </x:c>
      <x:c r="L63" s="28" t="str">
        <x:f>IF(J63="","",IF(J63&lt;&gt;"OK","Fix row",IF(C63="Sale",K63-E63*H63,0)))</x:f>
      </x:c>
    </x:row>
    <x:row r="64" ht="27" customHeight="1">
      <x:c r="A64" s="39"/>
      <x:c r="B64" s="29"/>
      <x:c r="C64" s="29"/>
      <x:c r="D64" s="29"/>
      <x:c r="E64" s="29"/>
      <x:c r="F64" s="30"/>
      <x:c r="G64" s="30"/>
      <x:c r="H64" s="30"/>
      <x:c r="I64" s="29"/>
      <x:c r="J64" s="25" t="str">
        <x:f>IF(COUNTA(A64:I64)=0,"",IF(OR(NOT(ISNUMBER(A64)),B64="",AND(C64&lt;&gt;"Sale",C64&lt;&gt;"Purchase",C64&lt;&gt;"Adjustment"),COUNTIFS(Products!$A$6:$A$105,D64)&lt;&gt;1,NOT(ISNUMBER(E64)),E64=0,AND(C64&lt;&gt;"Adjustment",E64&lt;0)),"Check inputs",IF(AND(C64="Sale",OR(NOT(ISNUMBER(F64)),NOT(ISNUMBER(G64)),NOT(ISNUMBER(H64)),F64&lt;0,G64&lt;0,H64&lt;0,G64&gt;E64*F64)),"Check sale amounts","OK")))</x:f>
      </x:c>
      <x:c r="K64" s="26" t="str">
        <x:f>IF(J64="","",IF(J64&lt;&gt;"OK","Fix row",IF(C64="Sale",E64*F64-G64,0)))</x:f>
      </x:c>
      <x:c r="L64" s="26" t="str">
        <x:f>IF(J64="","",IF(J64&lt;&gt;"OK","Fix row",IF(C64="Sale",K64-E64*H64,0)))</x:f>
      </x:c>
    </x:row>
    <x:row r="65" ht="27" customHeight="1">
      <x:c r="A65" s="39"/>
      <x:c r="B65" s="29"/>
      <x:c r="C65" s="29"/>
      <x:c r="D65" s="29"/>
      <x:c r="E65" s="29"/>
      <x:c r="F65" s="30"/>
      <x:c r="G65" s="30"/>
      <x:c r="H65" s="30"/>
      <x:c r="I65" s="29"/>
      <x:c r="J65" s="27" t="str">
        <x:f>IF(COUNTA(A65:I65)=0,"",IF(OR(NOT(ISNUMBER(A65)),B65="",AND(C65&lt;&gt;"Sale",C65&lt;&gt;"Purchase",C65&lt;&gt;"Adjustment"),COUNTIFS(Products!$A$6:$A$105,D65)&lt;&gt;1,NOT(ISNUMBER(E65)),E65=0,AND(C65&lt;&gt;"Adjustment",E65&lt;0)),"Check inputs",IF(AND(C65="Sale",OR(NOT(ISNUMBER(F65)),NOT(ISNUMBER(G65)),NOT(ISNUMBER(H65)),F65&lt;0,G65&lt;0,H65&lt;0,G65&gt;E65*F65)),"Check sale amounts","OK")))</x:f>
      </x:c>
      <x:c r="K65" s="28" t="str">
        <x:f>IF(J65="","",IF(J65&lt;&gt;"OK","Fix row",IF(C65="Sale",E65*F65-G65,0)))</x:f>
      </x:c>
      <x:c r="L65" s="28" t="str">
        <x:f>IF(J65="","",IF(J65&lt;&gt;"OK","Fix row",IF(C65="Sale",K65-E65*H65,0)))</x:f>
      </x:c>
    </x:row>
    <x:row r="66" ht="27" customHeight="1">
      <x:c r="A66" s="39"/>
      <x:c r="B66" s="29"/>
      <x:c r="C66" s="29"/>
      <x:c r="D66" s="29"/>
      <x:c r="E66" s="29"/>
      <x:c r="F66" s="30"/>
      <x:c r="G66" s="30"/>
      <x:c r="H66" s="30"/>
      <x:c r="I66" s="29"/>
      <x:c r="J66" s="25" t="str">
        <x:f>IF(COUNTA(A66:I66)=0,"",IF(OR(NOT(ISNUMBER(A66)),B66="",AND(C66&lt;&gt;"Sale",C66&lt;&gt;"Purchase",C66&lt;&gt;"Adjustment"),COUNTIFS(Products!$A$6:$A$105,D66)&lt;&gt;1,NOT(ISNUMBER(E66)),E66=0,AND(C66&lt;&gt;"Adjustment",E66&lt;0)),"Check inputs",IF(AND(C66="Sale",OR(NOT(ISNUMBER(F66)),NOT(ISNUMBER(G66)),NOT(ISNUMBER(H66)),F66&lt;0,G66&lt;0,H66&lt;0,G66&gt;E66*F66)),"Check sale amounts","OK")))</x:f>
      </x:c>
      <x:c r="K66" s="26" t="str">
        <x:f>IF(J66="","",IF(J66&lt;&gt;"OK","Fix row",IF(C66="Sale",E66*F66-G66,0)))</x:f>
      </x:c>
      <x:c r="L66" s="26" t="str">
        <x:f>IF(J66="","",IF(J66&lt;&gt;"OK","Fix row",IF(C66="Sale",K66-E66*H66,0)))</x:f>
      </x:c>
    </x:row>
    <x:row r="67" ht="27" customHeight="1">
      <x:c r="A67" s="39"/>
      <x:c r="B67" s="29"/>
      <x:c r="C67" s="29"/>
      <x:c r="D67" s="29"/>
      <x:c r="E67" s="29"/>
      <x:c r="F67" s="30"/>
      <x:c r="G67" s="30"/>
      <x:c r="H67" s="30"/>
      <x:c r="I67" s="29"/>
      <x:c r="J67" s="27" t="str">
        <x:f>IF(COUNTA(A67:I67)=0,"",IF(OR(NOT(ISNUMBER(A67)),B67="",AND(C67&lt;&gt;"Sale",C67&lt;&gt;"Purchase",C67&lt;&gt;"Adjustment"),COUNTIFS(Products!$A$6:$A$105,D67)&lt;&gt;1,NOT(ISNUMBER(E67)),E67=0,AND(C67&lt;&gt;"Adjustment",E67&lt;0)),"Check inputs",IF(AND(C67="Sale",OR(NOT(ISNUMBER(F67)),NOT(ISNUMBER(G67)),NOT(ISNUMBER(H67)),F67&lt;0,G67&lt;0,H67&lt;0,G67&gt;E67*F67)),"Check sale amounts","OK")))</x:f>
      </x:c>
      <x:c r="K67" s="28" t="str">
        <x:f>IF(J67="","",IF(J67&lt;&gt;"OK","Fix row",IF(C67="Sale",E67*F67-G67,0)))</x:f>
      </x:c>
      <x:c r="L67" s="28" t="str">
        <x:f>IF(J67="","",IF(J67&lt;&gt;"OK","Fix row",IF(C67="Sale",K67-E67*H67,0)))</x:f>
      </x:c>
    </x:row>
    <x:row r="68" ht="27" customHeight="1">
      <x:c r="A68" s="39"/>
      <x:c r="B68" s="29"/>
      <x:c r="C68" s="29"/>
      <x:c r="D68" s="29"/>
      <x:c r="E68" s="29"/>
      <x:c r="F68" s="30"/>
      <x:c r="G68" s="30"/>
      <x:c r="H68" s="30"/>
      <x:c r="I68" s="29"/>
      <x:c r="J68" s="25" t="str">
        <x:f>IF(COUNTA(A68:I68)=0,"",IF(OR(NOT(ISNUMBER(A68)),B68="",AND(C68&lt;&gt;"Sale",C68&lt;&gt;"Purchase",C68&lt;&gt;"Adjustment"),COUNTIFS(Products!$A$6:$A$105,D68)&lt;&gt;1,NOT(ISNUMBER(E68)),E68=0,AND(C68&lt;&gt;"Adjustment",E68&lt;0)),"Check inputs",IF(AND(C68="Sale",OR(NOT(ISNUMBER(F68)),NOT(ISNUMBER(G68)),NOT(ISNUMBER(H68)),F68&lt;0,G68&lt;0,H68&lt;0,G68&gt;E68*F68)),"Check sale amounts","OK")))</x:f>
      </x:c>
      <x:c r="K68" s="26" t="str">
        <x:f>IF(J68="","",IF(J68&lt;&gt;"OK","Fix row",IF(C68="Sale",E68*F68-G68,0)))</x:f>
      </x:c>
      <x:c r="L68" s="26" t="str">
        <x:f>IF(J68="","",IF(J68&lt;&gt;"OK","Fix row",IF(C68="Sale",K68-E68*H68,0)))</x:f>
      </x:c>
    </x:row>
    <x:row r="69" ht="27" customHeight="1">
      <x:c r="A69" s="39"/>
      <x:c r="B69" s="29"/>
      <x:c r="C69" s="29"/>
      <x:c r="D69" s="29"/>
      <x:c r="E69" s="29"/>
      <x:c r="F69" s="30"/>
      <x:c r="G69" s="30"/>
      <x:c r="H69" s="30"/>
      <x:c r="I69" s="29"/>
      <x:c r="J69" s="27" t="str">
        <x:f>IF(COUNTA(A69:I69)=0,"",IF(OR(NOT(ISNUMBER(A69)),B69="",AND(C69&lt;&gt;"Sale",C69&lt;&gt;"Purchase",C69&lt;&gt;"Adjustment"),COUNTIFS(Products!$A$6:$A$105,D69)&lt;&gt;1,NOT(ISNUMBER(E69)),E69=0,AND(C69&lt;&gt;"Adjustment",E69&lt;0)),"Check inputs",IF(AND(C69="Sale",OR(NOT(ISNUMBER(F69)),NOT(ISNUMBER(G69)),NOT(ISNUMBER(H69)),F69&lt;0,G69&lt;0,H69&lt;0,G69&gt;E69*F69)),"Check sale amounts","OK")))</x:f>
      </x:c>
      <x:c r="K69" s="28" t="str">
        <x:f>IF(J69="","",IF(J69&lt;&gt;"OK","Fix row",IF(C69="Sale",E69*F69-G69,0)))</x:f>
      </x:c>
      <x:c r="L69" s="28" t="str">
        <x:f>IF(J69="","",IF(J69&lt;&gt;"OK","Fix row",IF(C69="Sale",K69-E69*H69,0)))</x:f>
      </x:c>
    </x:row>
    <x:row r="70" ht="27" customHeight="1">
      <x:c r="A70" s="39"/>
      <x:c r="B70" s="29"/>
      <x:c r="C70" s="29"/>
      <x:c r="D70" s="29"/>
      <x:c r="E70" s="29"/>
      <x:c r="F70" s="30"/>
      <x:c r="G70" s="30"/>
      <x:c r="H70" s="30"/>
      <x:c r="I70" s="29"/>
      <x:c r="J70" s="25" t="str">
        <x:f>IF(COUNTA(A70:I70)=0,"",IF(OR(NOT(ISNUMBER(A70)),B70="",AND(C70&lt;&gt;"Sale",C70&lt;&gt;"Purchase",C70&lt;&gt;"Adjustment"),COUNTIFS(Products!$A$6:$A$105,D70)&lt;&gt;1,NOT(ISNUMBER(E70)),E70=0,AND(C70&lt;&gt;"Adjustment",E70&lt;0)),"Check inputs",IF(AND(C70="Sale",OR(NOT(ISNUMBER(F70)),NOT(ISNUMBER(G70)),NOT(ISNUMBER(H70)),F70&lt;0,G70&lt;0,H70&lt;0,G70&gt;E70*F70)),"Check sale amounts","OK")))</x:f>
      </x:c>
      <x:c r="K70" s="26" t="str">
        <x:f>IF(J70="","",IF(J70&lt;&gt;"OK","Fix row",IF(C70="Sale",E70*F70-G70,0)))</x:f>
      </x:c>
      <x:c r="L70" s="26" t="str">
        <x:f>IF(J70="","",IF(J70&lt;&gt;"OK","Fix row",IF(C70="Sale",K70-E70*H70,0)))</x:f>
      </x:c>
    </x:row>
    <x:row r="71" ht="27" customHeight="1">
      <x:c r="A71" s="39"/>
      <x:c r="B71" s="29"/>
      <x:c r="C71" s="29"/>
      <x:c r="D71" s="29"/>
      <x:c r="E71" s="29"/>
      <x:c r="F71" s="30"/>
      <x:c r="G71" s="30"/>
      <x:c r="H71" s="30"/>
      <x:c r="I71" s="29"/>
      <x:c r="J71" s="27" t="str">
        <x:f>IF(COUNTA(A71:I71)=0,"",IF(OR(NOT(ISNUMBER(A71)),B71="",AND(C71&lt;&gt;"Sale",C71&lt;&gt;"Purchase",C71&lt;&gt;"Adjustment"),COUNTIFS(Products!$A$6:$A$105,D71)&lt;&gt;1,NOT(ISNUMBER(E71)),E71=0,AND(C71&lt;&gt;"Adjustment",E71&lt;0)),"Check inputs",IF(AND(C71="Sale",OR(NOT(ISNUMBER(F71)),NOT(ISNUMBER(G71)),NOT(ISNUMBER(H71)),F71&lt;0,G71&lt;0,H71&lt;0,G71&gt;E71*F71)),"Check sale amounts","OK")))</x:f>
      </x:c>
      <x:c r="K71" s="28" t="str">
        <x:f>IF(J71="","",IF(J71&lt;&gt;"OK","Fix row",IF(C71="Sale",E71*F71-G71,0)))</x:f>
      </x:c>
      <x:c r="L71" s="28" t="str">
        <x:f>IF(J71="","",IF(J71&lt;&gt;"OK","Fix row",IF(C71="Sale",K71-E71*H71,0)))</x:f>
      </x:c>
    </x:row>
    <x:row r="72" ht="27" customHeight="1">
      <x:c r="A72" s="39"/>
      <x:c r="B72" s="29"/>
      <x:c r="C72" s="29"/>
      <x:c r="D72" s="29"/>
      <x:c r="E72" s="29"/>
      <x:c r="F72" s="30"/>
      <x:c r="G72" s="30"/>
      <x:c r="H72" s="30"/>
      <x:c r="I72" s="29"/>
      <x:c r="J72" s="25" t="str">
        <x:f>IF(COUNTA(A72:I72)=0,"",IF(OR(NOT(ISNUMBER(A72)),B72="",AND(C72&lt;&gt;"Sale",C72&lt;&gt;"Purchase",C72&lt;&gt;"Adjustment"),COUNTIFS(Products!$A$6:$A$105,D72)&lt;&gt;1,NOT(ISNUMBER(E72)),E72=0,AND(C72&lt;&gt;"Adjustment",E72&lt;0)),"Check inputs",IF(AND(C72="Sale",OR(NOT(ISNUMBER(F72)),NOT(ISNUMBER(G72)),NOT(ISNUMBER(H72)),F72&lt;0,G72&lt;0,H72&lt;0,G72&gt;E72*F72)),"Check sale amounts","OK")))</x:f>
      </x:c>
      <x:c r="K72" s="26" t="str">
        <x:f>IF(J72="","",IF(J72&lt;&gt;"OK","Fix row",IF(C72="Sale",E72*F72-G72,0)))</x:f>
      </x:c>
      <x:c r="L72" s="26" t="str">
        <x:f>IF(J72="","",IF(J72&lt;&gt;"OK","Fix row",IF(C72="Sale",K72-E72*H72,0)))</x:f>
      </x:c>
    </x:row>
    <x:row r="73" ht="27" customHeight="1">
      <x:c r="A73" s="39"/>
      <x:c r="B73" s="29"/>
      <x:c r="C73" s="29"/>
      <x:c r="D73" s="29"/>
      <x:c r="E73" s="29"/>
      <x:c r="F73" s="30"/>
      <x:c r="G73" s="30"/>
      <x:c r="H73" s="30"/>
      <x:c r="I73" s="29"/>
      <x:c r="J73" s="27" t="str">
        <x:f>IF(COUNTA(A73:I73)=0,"",IF(OR(NOT(ISNUMBER(A73)),B73="",AND(C73&lt;&gt;"Sale",C73&lt;&gt;"Purchase",C73&lt;&gt;"Adjustment"),COUNTIFS(Products!$A$6:$A$105,D73)&lt;&gt;1,NOT(ISNUMBER(E73)),E73=0,AND(C73&lt;&gt;"Adjustment",E73&lt;0)),"Check inputs",IF(AND(C73="Sale",OR(NOT(ISNUMBER(F73)),NOT(ISNUMBER(G73)),NOT(ISNUMBER(H73)),F73&lt;0,G73&lt;0,H73&lt;0,G73&gt;E73*F73)),"Check sale amounts","OK")))</x:f>
      </x:c>
      <x:c r="K73" s="28" t="str">
        <x:f>IF(J73="","",IF(J73&lt;&gt;"OK","Fix row",IF(C73="Sale",E73*F73-G73,0)))</x:f>
      </x:c>
      <x:c r="L73" s="28" t="str">
        <x:f>IF(J73="","",IF(J73&lt;&gt;"OK","Fix row",IF(C73="Sale",K73-E73*H73,0)))</x:f>
      </x:c>
    </x:row>
    <x:row r="74" ht="27" customHeight="1">
      <x:c r="A74" s="39"/>
      <x:c r="B74" s="29"/>
      <x:c r="C74" s="29"/>
      <x:c r="D74" s="29"/>
      <x:c r="E74" s="29"/>
      <x:c r="F74" s="30"/>
      <x:c r="G74" s="30"/>
      <x:c r="H74" s="30"/>
      <x:c r="I74" s="29"/>
      <x:c r="J74" s="25" t="str">
        <x:f>IF(COUNTA(A74:I74)=0,"",IF(OR(NOT(ISNUMBER(A74)),B74="",AND(C74&lt;&gt;"Sale",C74&lt;&gt;"Purchase",C74&lt;&gt;"Adjustment"),COUNTIFS(Products!$A$6:$A$105,D74)&lt;&gt;1,NOT(ISNUMBER(E74)),E74=0,AND(C74&lt;&gt;"Adjustment",E74&lt;0)),"Check inputs",IF(AND(C74="Sale",OR(NOT(ISNUMBER(F74)),NOT(ISNUMBER(G74)),NOT(ISNUMBER(H74)),F74&lt;0,G74&lt;0,H74&lt;0,G74&gt;E74*F74)),"Check sale amounts","OK")))</x:f>
      </x:c>
      <x:c r="K74" s="26" t="str">
        <x:f>IF(J74="","",IF(J74&lt;&gt;"OK","Fix row",IF(C74="Sale",E74*F74-G74,0)))</x:f>
      </x:c>
      <x:c r="L74" s="26" t="str">
        <x:f>IF(J74="","",IF(J74&lt;&gt;"OK","Fix row",IF(C74="Sale",K74-E74*H74,0)))</x:f>
      </x:c>
    </x:row>
    <x:row r="75" ht="27" customHeight="1">
      <x:c r="A75" s="39"/>
      <x:c r="B75" s="29"/>
      <x:c r="C75" s="29"/>
      <x:c r="D75" s="29"/>
      <x:c r="E75" s="29"/>
      <x:c r="F75" s="30"/>
      <x:c r="G75" s="30"/>
      <x:c r="H75" s="30"/>
      <x:c r="I75" s="29"/>
      <x:c r="J75" s="27" t="str">
        <x:f>IF(COUNTA(A75:I75)=0,"",IF(OR(NOT(ISNUMBER(A75)),B75="",AND(C75&lt;&gt;"Sale",C75&lt;&gt;"Purchase",C75&lt;&gt;"Adjustment"),COUNTIFS(Products!$A$6:$A$105,D75)&lt;&gt;1,NOT(ISNUMBER(E75)),E75=0,AND(C75&lt;&gt;"Adjustment",E75&lt;0)),"Check inputs",IF(AND(C75="Sale",OR(NOT(ISNUMBER(F75)),NOT(ISNUMBER(G75)),NOT(ISNUMBER(H75)),F75&lt;0,G75&lt;0,H75&lt;0,G75&gt;E75*F75)),"Check sale amounts","OK")))</x:f>
      </x:c>
      <x:c r="K75" s="28" t="str">
        <x:f>IF(J75="","",IF(J75&lt;&gt;"OK","Fix row",IF(C75="Sale",E75*F75-G75,0)))</x:f>
      </x:c>
      <x:c r="L75" s="28" t="str">
        <x:f>IF(J75="","",IF(J75&lt;&gt;"OK","Fix row",IF(C75="Sale",K75-E75*H75,0)))</x:f>
      </x:c>
    </x:row>
    <x:row r="76" ht="27" customHeight="1">
      <x:c r="A76" s="39"/>
      <x:c r="B76" s="29"/>
      <x:c r="C76" s="29"/>
      <x:c r="D76" s="29"/>
      <x:c r="E76" s="29"/>
      <x:c r="F76" s="30"/>
      <x:c r="G76" s="30"/>
      <x:c r="H76" s="30"/>
      <x:c r="I76" s="29"/>
      <x:c r="J76" s="25" t="str">
        <x:f>IF(COUNTA(A76:I76)=0,"",IF(OR(NOT(ISNUMBER(A76)),B76="",AND(C76&lt;&gt;"Sale",C76&lt;&gt;"Purchase",C76&lt;&gt;"Adjustment"),COUNTIFS(Products!$A$6:$A$105,D76)&lt;&gt;1,NOT(ISNUMBER(E76)),E76=0,AND(C76&lt;&gt;"Adjustment",E76&lt;0)),"Check inputs",IF(AND(C76="Sale",OR(NOT(ISNUMBER(F76)),NOT(ISNUMBER(G76)),NOT(ISNUMBER(H76)),F76&lt;0,G76&lt;0,H76&lt;0,G76&gt;E76*F76)),"Check sale amounts","OK")))</x:f>
      </x:c>
      <x:c r="K76" s="26" t="str">
        <x:f>IF(J76="","",IF(J76&lt;&gt;"OK","Fix row",IF(C76="Sale",E76*F76-G76,0)))</x:f>
      </x:c>
      <x:c r="L76" s="26" t="str">
        <x:f>IF(J76="","",IF(J76&lt;&gt;"OK","Fix row",IF(C76="Sale",K76-E76*H76,0)))</x:f>
      </x:c>
    </x:row>
    <x:row r="77" ht="27" customHeight="1">
      <x:c r="A77" s="39"/>
      <x:c r="B77" s="29"/>
      <x:c r="C77" s="29"/>
      <x:c r="D77" s="29"/>
      <x:c r="E77" s="29"/>
      <x:c r="F77" s="30"/>
      <x:c r="G77" s="30"/>
      <x:c r="H77" s="30"/>
      <x:c r="I77" s="29"/>
      <x:c r="J77" s="27" t="str">
        <x:f>IF(COUNTA(A77:I77)=0,"",IF(OR(NOT(ISNUMBER(A77)),B77="",AND(C77&lt;&gt;"Sale",C77&lt;&gt;"Purchase",C77&lt;&gt;"Adjustment"),COUNTIFS(Products!$A$6:$A$105,D77)&lt;&gt;1,NOT(ISNUMBER(E77)),E77=0,AND(C77&lt;&gt;"Adjustment",E77&lt;0)),"Check inputs",IF(AND(C77="Sale",OR(NOT(ISNUMBER(F77)),NOT(ISNUMBER(G77)),NOT(ISNUMBER(H77)),F77&lt;0,G77&lt;0,H77&lt;0,G77&gt;E77*F77)),"Check sale amounts","OK")))</x:f>
      </x:c>
      <x:c r="K77" s="28" t="str">
        <x:f>IF(J77="","",IF(J77&lt;&gt;"OK","Fix row",IF(C77="Sale",E77*F77-G77,0)))</x:f>
      </x:c>
      <x:c r="L77" s="28" t="str">
        <x:f>IF(J77="","",IF(J77&lt;&gt;"OK","Fix row",IF(C77="Sale",K77-E77*H77,0)))</x:f>
      </x:c>
    </x:row>
    <x:row r="78" ht="27" customHeight="1">
      <x:c r="A78" s="39"/>
      <x:c r="B78" s="29"/>
      <x:c r="C78" s="29"/>
      <x:c r="D78" s="29"/>
      <x:c r="E78" s="29"/>
      <x:c r="F78" s="30"/>
      <x:c r="G78" s="30"/>
      <x:c r="H78" s="30"/>
      <x:c r="I78" s="29"/>
      <x:c r="J78" s="25" t="str">
        <x:f>IF(COUNTA(A78:I78)=0,"",IF(OR(NOT(ISNUMBER(A78)),B78="",AND(C78&lt;&gt;"Sale",C78&lt;&gt;"Purchase",C78&lt;&gt;"Adjustment"),COUNTIFS(Products!$A$6:$A$105,D78)&lt;&gt;1,NOT(ISNUMBER(E78)),E78=0,AND(C78&lt;&gt;"Adjustment",E78&lt;0)),"Check inputs",IF(AND(C78="Sale",OR(NOT(ISNUMBER(F78)),NOT(ISNUMBER(G78)),NOT(ISNUMBER(H78)),F78&lt;0,G78&lt;0,H78&lt;0,G78&gt;E78*F78)),"Check sale amounts","OK")))</x:f>
      </x:c>
      <x:c r="K78" s="26" t="str">
        <x:f>IF(J78="","",IF(J78&lt;&gt;"OK","Fix row",IF(C78="Sale",E78*F78-G78,0)))</x:f>
      </x:c>
      <x:c r="L78" s="26" t="str">
        <x:f>IF(J78="","",IF(J78&lt;&gt;"OK","Fix row",IF(C78="Sale",K78-E78*H78,0)))</x:f>
      </x:c>
    </x:row>
    <x:row r="79" ht="27" customHeight="1">
      <x:c r="A79" s="39"/>
      <x:c r="B79" s="29"/>
      <x:c r="C79" s="29"/>
      <x:c r="D79" s="29"/>
      <x:c r="E79" s="29"/>
      <x:c r="F79" s="30"/>
      <x:c r="G79" s="30"/>
      <x:c r="H79" s="30"/>
      <x:c r="I79" s="29"/>
      <x:c r="J79" s="27" t="str">
        <x:f>IF(COUNTA(A79:I79)=0,"",IF(OR(NOT(ISNUMBER(A79)),B79="",AND(C79&lt;&gt;"Sale",C79&lt;&gt;"Purchase",C79&lt;&gt;"Adjustment"),COUNTIFS(Products!$A$6:$A$105,D79)&lt;&gt;1,NOT(ISNUMBER(E79)),E79=0,AND(C79&lt;&gt;"Adjustment",E79&lt;0)),"Check inputs",IF(AND(C79="Sale",OR(NOT(ISNUMBER(F79)),NOT(ISNUMBER(G79)),NOT(ISNUMBER(H79)),F79&lt;0,G79&lt;0,H79&lt;0,G79&gt;E79*F79)),"Check sale amounts","OK")))</x:f>
      </x:c>
      <x:c r="K79" s="28" t="str">
        <x:f>IF(J79="","",IF(J79&lt;&gt;"OK","Fix row",IF(C79="Sale",E79*F79-G79,0)))</x:f>
      </x:c>
      <x:c r="L79" s="28" t="str">
        <x:f>IF(J79="","",IF(J79&lt;&gt;"OK","Fix row",IF(C79="Sale",K79-E79*H79,0)))</x:f>
      </x:c>
    </x:row>
    <x:row r="80" ht="27" customHeight="1">
      <x:c r="A80" s="39"/>
      <x:c r="B80" s="29"/>
      <x:c r="C80" s="29"/>
      <x:c r="D80" s="29"/>
      <x:c r="E80" s="29"/>
      <x:c r="F80" s="30"/>
      <x:c r="G80" s="30"/>
      <x:c r="H80" s="30"/>
      <x:c r="I80" s="29"/>
      <x:c r="J80" s="25" t="str">
        <x:f>IF(COUNTA(A80:I80)=0,"",IF(OR(NOT(ISNUMBER(A80)),B80="",AND(C80&lt;&gt;"Sale",C80&lt;&gt;"Purchase",C80&lt;&gt;"Adjustment"),COUNTIFS(Products!$A$6:$A$105,D80)&lt;&gt;1,NOT(ISNUMBER(E80)),E80=0,AND(C80&lt;&gt;"Adjustment",E80&lt;0)),"Check inputs",IF(AND(C80="Sale",OR(NOT(ISNUMBER(F80)),NOT(ISNUMBER(G80)),NOT(ISNUMBER(H80)),F80&lt;0,G80&lt;0,H80&lt;0,G80&gt;E80*F80)),"Check sale amounts","OK")))</x:f>
      </x:c>
      <x:c r="K80" s="26" t="str">
        <x:f>IF(J80="","",IF(J80&lt;&gt;"OK","Fix row",IF(C80="Sale",E80*F80-G80,0)))</x:f>
      </x:c>
      <x:c r="L80" s="26" t="str">
        <x:f>IF(J80="","",IF(J80&lt;&gt;"OK","Fix row",IF(C80="Sale",K80-E80*H80,0)))</x:f>
      </x:c>
    </x:row>
    <x:row r="81" ht="27" customHeight="1">
      <x:c r="A81" s="39"/>
      <x:c r="B81" s="29"/>
      <x:c r="C81" s="29"/>
      <x:c r="D81" s="29"/>
      <x:c r="E81" s="29"/>
      <x:c r="F81" s="30"/>
      <x:c r="G81" s="30"/>
      <x:c r="H81" s="30"/>
      <x:c r="I81" s="29"/>
      <x:c r="J81" s="27" t="str">
        <x:f>IF(COUNTA(A81:I81)=0,"",IF(OR(NOT(ISNUMBER(A81)),B81="",AND(C81&lt;&gt;"Sale",C81&lt;&gt;"Purchase",C81&lt;&gt;"Adjustment"),COUNTIFS(Products!$A$6:$A$105,D81)&lt;&gt;1,NOT(ISNUMBER(E81)),E81=0,AND(C81&lt;&gt;"Adjustment",E81&lt;0)),"Check inputs",IF(AND(C81="Sale",OR(NOT(ISNUMBER(F81)),NOT(ISNUMBER(G81)),NOT(ISNUMBER(H81)),F81&lt;0,G81&lt;0,H81&lt;0,G81&gt;E81*F81)),"Check sale amounts","OK")))</x:f>
      </x:c>
      <x:c r="K81" s="28" t="str">
        <x:f>IF(J81="","",IF(J81&lt;&gt;"OK","Fix row",IF(C81="Sale",E81*F81-G81,0)))</x:f>
      </x:c>
      <x:c r="L81" s="28" t="str">
        <x:f>IF(J81="","",IF(J81&lt;&gt;"OK","Fix row",IF(C81="Sale",K81-E81*H81,0)))</x:f>
      </x:c>
    </x:row>
    <x:row r="82" ht="27" customHeight="1">
      <x:c r="A82" s="39"/>
      <x:c r="B82" s="29"/>
      <x:c r="C82" s="29"/>
      <x:c r="D82" s="29"/>
      <x:c r="E82" s="29"/>
      <x:c r="F82" s="30"/>
      <x:c r="G82" s="30"/>
      <x:c r="H82" s="30"/>
      <x:c r="I82" s="29"/>
      <x:c r="J82" s="25" t="str">
        <x:f>IF(COUNTA(A82:I82)=0,"",IF(OR(NOT(ISNUMBER(A82)),B82="",AND(C82&lt;&gt;"Sale",C82&lt;&gt;"Purchase",C82&lt;&gt;"Adjustment"),COUNTIFS(Products!$A$6:$A$105,D82)&lt;&gt;1,NOT(ISNUMBER(E82)),E82=0,AND(C82&lt;&gt;"Adjustment",E82&lt;0)),"Check inputs",IF(AND(C82="Sale",OR(NOT(ISNUMBER(F82)),NOT(ISNUMBER(G82)),NOT(ISNUMBER(H82)),F82&lt;0,G82&lt;0,H82&lt;0,G82&gt;E82*F82)),"Check sale amounts","OK")))</x:f>
      </x:c>
      <x:c r="K82" s="26" t="str">
        <x:f>IF(J82="","",IF(J82&lt;&gt;"OK","Fix row",IF(C82="Sale",E82*F82-G82,0)))</x:f>
      </x:c>
      <x:c r="L82" s="26" t="str">
        <x:f>IF(J82="","",IF(J82&lt;&gt;"OK","Fix row",IF(C82="Sale",K82-E82*H82,0)))</x:f>
      </x:c>
    </x:row>
    <x:row r="83" ht="27" customHeight="1">
      <x:c r="A83" s="39"/>
      <x:c r="B83" s="29"/>
      <x:c r="C83" s="29"/>
      <x:c r="D83" s="29"/>
      <x:c r="E83" s="29"/>
      <x:c r="F83" s="30"/>
      <x:c r="G83" s="30"/>
      <x:c r="H83" s="30"/>
      <x:c r="I83" s="29"/>
      <x:c r="J83" s="27" t="str">
        <x:f>IF(COUNTA(A83:I83)=0,"",IF(OR(NOT(ISNUMBER(A83)),B83="",AND(C83&lt;&gt;"Sale",C83&lt;&gt;"Purchase",C83&lt;&gt;"Adjustment"),COUNTIFS(Products!$A$6:$A$105,D83)&lt;&gt;1,NOT(ISNUMBER(E83)),E83=0,AND(C83&lt;&gt;"Adjustment",E83&lt;0)),"Check inputs",IF(AND(C83="Sale",OR(NOT(ISNUMBER(F83)),NOT(ISNUMBER(G83)),NOT(ISNUMBER(H83)),F83&lt;0,G83&lt;0,H83&lt;0,G83&gt;E83*F83)),"Check sale amounts","OK")))</x:f>
      </x:c>
      <x:c r="K83" s="28" t="str">
        <x:f>IF(J83="","",IF(J83&lt;&gt;"OK","Fix row",IF(C83="Sale",E83*F83-G83,0)))</x:f>
      </x:c>
      <x:c r="L83" s="28" t="str">
        <x:f>IF(J83="","",IF(J83&lt;&gt;"OK","Fix row",IF(C83="Sale",K83-E83*H83,0)))</x:f>
      </x:c>
    </x:row>
    <x:row r="84" ht="27" customHeight="1">
      <x:c r="A84" s="39"/>
      <x:c r="B84" s="29"/>
      <x:c r="C84" s="29"/>
      <x:c r="D84" s="29"/>
      <x:c r="E84" s="29"/>
      <x:c r="F84" s="30"/>
      <x:c r="G84" s="30"/>
      <x:c r="H84" s="30"/>
      <x:c r="I84" s="29"/>
      <x:c r="J84" s="25" t="str">
        <x:f>IF(COUNTA(A84:I84)=0,"",IF(OR(NOT(ISNUMBER(A84)),B84="",AND(C84&lt;&gt;"Sale",C84&lt;&gt;"Purchase",C84&lt;&gt;"Adjustment"),COUNTIFS(Products!$A$6:$A$105,D84)&lt;&gt;1,NOT(ISNUMBER(E84)),E84=0,AND(C84&lt;&gt;"Adjustment",E84&lt;0)),"Check inputs",IF(AND(C84="Sale",OR(NOT(ISNUMBER(F84)),NOT(ISNUMBER(G84)),NOT(ISNUMBER(H84)),F84&lt;0,G84&lt;0,H84&lt;0,G84&gt;E84*F84)),"Check sale amounts","OK")))</x:f>
      </x:c>
      <x:c r="K84" s="26" t="str">
        <x:f>IF(J84="","",IF(J84&lt;&gt;"OK","Fix row",IF(C84="Sale",E84*F84-G84,0)))</x:f>
      </x:c>
      <x:c r="L84" s="26" t="str">
        <x:f>IF(J84="","",IF(J84&lt;&gt;"OK","Fix row",IF(C84="Sale",K84-E84*H84,0)))</x:f>
      </x:c>
    </x:row>
    <x:row r="85" ht="27" customHeight="1">
      <x:c r="A85" s="39"/>
      <x:c r="B85" s="29"/>
      <x:c r="C85" s="29"/>
      <x:c r="D85" s="29"/>
      <x:c r="E85" s="29"/>
      <x:c r="F85" s="30"/>
      <x:c r="G85" s="30"/>
      <x:c r="H85" s="30"/>
      <x:c r="I85" s="29"/>
      <x:c r="J85" s="27" t="str">
        <x:f>IF(COUNTA(A85:I85)=0,"",IF(OR(NOT(ISNUMBER(A85)),B85="",AND(C85&lt;&gt;"Sale",C85&lt;&gt;"Purchase",C85&lt;&gt;"Adjustment"),COUNTIFS(Products!$A$6:$A$105,D85)&lt;&gt;1,NOT(ISNUMBER(E85)),E85=0,AND(C85&lt;&gt;"Adjustment",E85&lt;0)),"Check inputs",IF(AND(C85="Sale",OR(NOT(ISNUMBER(F85)),NOT(ISNUMBER(G85)),NOT(ISNUMBER(H85)),F85&lt;0,G85&lt;0,H85&lt;0,G85&gt;E85*F85)),"Check sale amounts","OK")))</x:f>
      </x:c>
      <x:c r="K85" s="28" t="str">
        <x:f>IF(J85="","",IF(J85&lt;&gt;"OK","Fix row",IF(C85="Sale",E85*F85-G85,0)))</x:f>
      </x:c>
      <x:c r="L85" s="28" t="str">
        <x:f>IF(J85="","",IF(J85&lt;&gt;"OK","Fix row",IF(C85="Sale",K85-E85*H85,0)))</x:f>
      </x:c>
    </x:row>
    <x:row r="86" ht="27" customHeight="1">
      <x:c r="A86" s="39"/>
      <x:c r="B86" s="29"/>
      <x:c r="C86" s="29"/>
      <x:c r="D86" s="29"/>
      <x:c r="E86" s="29"/>
      <x:c r="F86" s="30"/>
      <x:c r="G86" s="30"/>
      <x:c r="H86" s="30"/>
      <x:c r="I86" s="29"/>
      <x:c r="J86" s="25" t="str">
        <x:f>IF(COUNTA(A86:I86)=0,"",IF(OR(NOT(ISNUMBER(A86)),B86="",AND(C86&lt;&gt;"Sale",C86&lt;&gt;"Purchase",C86&lt;&gt;"Adjustment"),COUNTIFS(Products!$A$6:$A$105,D86)&lt;&gt;1,NOT(ISNUMBER(E86)),E86=0,AND(C86&lt;&gt;"Adjustment",E86&lt;0)),"Check inputs",IF(AND(C86="Sale",OR(NOT(ISNUMBER(F86)),NOT(ISNUMBER(G86)),NOT(ISNUMBER(H86)),F86&lt;0,G86&lt;0,H86&lt;0,G86&gt;E86*F86)),"Check sale amounts","OK")))</x:f>
      </x:c>
      <x:c r="K86" s="26" t="str">
        <x:f>IF(J86="","",IF(J86&lt;&gt;"OK","Fix row",IF(C86="Sale",E86*F86-G86,0)))</x:f>
      </x:c>
      <x:c r="L86" s="26" t="str">
        <x:f>IF(J86="","",IF(J86&lt;&gt;"OK","Fix row",IF(C86="Sale",K86-E86*H86,0)))</x:f>
      </x:c>
    </x:row>
    <x:row r="87" ht="27" customHeight="1">
      <x:c r="A87" s="39"/>
      <x:c r="B87" s="29"/>
      <x:c r="C87" s="29"/>
      <x:c r="D87" s="29"/>
      <x:c r="E87" s="29"/>
      <x:c r="F87" s="30"/>
      <x:c r="G87" s="30"/>
      <x:c r="H87" s="30"/>
      <x:c r="I87" s="29"/>
      <x:c r="J87" s="27" t="str">
        <x:f>IF(COUNTA(A87:I87)=0,"",IF(OR(NOT(ISNUMBER(A87)),B87="",AND(C87&lt;&gt;"Sale",C87&lt;&gt;"Purchase",C87&lt;&gt;"Adjustment"),COUNTIFS(Products!$A$6:$A$105,D87)&lt;&gt;1,NOT(ISNUMBER(E87)),E87=0,AND(C87&lt;&gt;"Adjustment",E87&lt;0)),"Check inputs",IF(AND(C87="Sale",OR(NOT(ISNUMBER(F87)),NOT(ISNUMBER(G87)),NOT(ISNUMBER(H87)),F87&lt;0,G87&lt;0,H87&lt;0,G87&gt;E87*F87)),"Check sale amounts","OK")))</x:f>
      </x:c>
      <x:c r="K87" s="28" t="str">
        <x:f>IF(J87="","",IF(J87&lt;&gt;"OK","Fix row",IF(C87="Sale",E87*F87-G87,0)))</x:f>
      </x:c>
      <x:c r="L87" s="28" t="str">
        <x:f>IF(J87="","",IF(J87&lt;&gt;"OK","Fix row",IF(C87="Sale",K87-E87*H87,0)))</x:f>
      </x:c>
    </x:row>
    <x:row r="88" ht="27" customHeight="1">
      <x:c r="A88" s="39"/>
      <x:c r="B88" s="29"/>
      <x:c r="C88" s="29"/>
      <x:c r="D88" s="29"/>
      <x:c r="E88" s="29"/>
      <x:c r="F88" s="30"/>
      <x:c r="G88" s="30"/>
      <x:c r="H88" s="30"/>
      <x:c r="I88" s="29"/>
      <x:c r="J88" s="25" t="str">
        <x:f>IF(COUNTA(A88:I88)=0,"",IF(OR(NOT(ISNUMBER(A88)),B88="",AND(C88&lt;&gt;"Sale",C88&lt;&gt;"Purchase",C88&lt;&gt;"Adjustment"),COUNTIFS(Products!$A$6:$A$105,D88)&lt;&gt;1,NOT(ISNUMBER(E88)),E88=0,AND(C88&lt;&gt;"Adjustment",E88&lt;0)),"Check inputs",IF(AND(C88="Sale",OR(NOT(ISNUMBER(F88)),NOT(ISNUMBER(G88)),NOT(ISNUMBER(H88)),F88&lt;0,G88&lt;0,H88&lt;0,G88&gt;E88*F88)),"Check sale amounts","OK")))</x:f>
      </x:c>
      <x:c r="K88" s="26" t="str">
        <x:f>IF(J88="","",IF(J88&lt;&gt;"OK","Fix row",IF(C88="Sale",E88*F88-G88,0)))</x:f>
      </x:c>
      <x:c r="L88" s="26" t="str">
        <x:f>IF(J88="","",IF(J88&lt;&gt;"OK","Fix row",IF(C88="Sale",K88-E88*H88,0)))</x:f>
      </x:c>
    </x:row>
    <x:row r="89" ht="27" customHeight="1">
      <x:c r="A89" s="39"/>
      <x:c r="B89" s="29"/>
      <x:c r="C89" s="29"/>
      <x:c r="D89" s="29"/>
      <x:c r="E89" s="29"/>
      <x:c r="F89" s="30"/>
      <x:c r="G89" s="30"/>
      <x:c r="H89" s="30"/>
      <x:c r="I89" s="29"/>
      <x:c r="J89" s="27" t="str">
        <x:f>IF(COUNTA(A89:I89)=0,"",IF(OR(NOT(ISNUMBER(A89)),B89="",AND(C89&lt;&gt;"Sale",C89&lt;&gt;"Purchase",C89&lt;&gt;"Adjustment"),COUNTIFS(Products!$A$6:$A$105,D89)&lt;&gt;1,NOT(ISNUMBER(E89)),E89=0,AND(C89&lt;&gt;"Adjustment",E89&lt;0)),"Check inputs",IF(AND(C89="Sale",OR(NOT(ISNUMBER(F89)),NOT(ISNUMBER(G89)),NOT(ISNUMBER(H89)),F89&lt;0,G89&lt;0,H89&lt;0,G89&gt;E89*F89)),"Check sale amounts","OK")))</x:f>
      </x:c>
      <x:c r="K89" s="28" t="str">
        <x:f>IF(J89="","",IF(J89&lt;&gt;"OK","Fix row",IF(C89="Sale",E89*F89-G89,0)))</x:f>
      </x:c>
      <x:c r="L89" s="28" t="str">
        <x:f>IF(J89="","",IF(J89&lt;&gt;"OK","Fix row",IF(C89="Sale",K89-E89*H89,0)))</x:f>
      </x:c>
    </x:row>
    <x:row r="90" ht="27" customHeight="1">
      <x:c r="A90" s="39"/>
      <x:c r="B90" s="29"/>
      <x:c r="C90" s="29"/>
      <x:c r="D90" s="29"/>
      <x:c r="E90" s="29"/>
      <x:c r="F90" s="30"/>
      <x:c r="G90" s="30"/>
      <x:c r="H90" s="30"/>
      <x:c r="I90" s="29"/>
      <x:c r="J90" s="25" t="str">
        <x:f>IF(COUNTA(A90:I90)=0,"",IF(OR(NOT(ISNUMBER(A90)),B90="",AND(C90&lt;&gt;"Sale",C90&lt;&gt;"Purchase",C90&lt;&gt;"Adjustment"),COUNTIFS(Products!$A$6:$A$105,D90)&lt;&gt;1,NOT(ISNUMBER(E90)),E90=0,AND(C90&lt;&gt;"Adjustment",E90&lt;0)),"Check inputs",IF(AND(C90="Sale",OR(NOT(ISNUMBER(F90)),NOT(ISNUMBER(G90)),NOT(ISNUMBER(H90)),F90&lt;0,G90&lt;0,H90&lt;0,G90&gt;E90*F90)),"Check sale amounts","OK")))</x:f>
      </x:c>
      <x:c r="K90" s="26" t="str">
        <x:f>IF(J90="","",IF(J90&lt;&gt;"OK","Fix row",IF(C90="Sale",E90*F90-G90,0)))</x:f>
      </x:c>
      <x:c r="L90" s="26" t="str">
        <x:f>IF(J90="","",IF(J90&lt;&gt;"OK","Fix row",IF(C90="Sale",K90-E90*H90,0)))</x:f>
      </x:c>
    </x:row>
    <x:row r="91" ht="27" customHeight="1">
      <x:c r="A91" s="39"/>
      <x:c r="B91" s="29"/>
      <x:c r="C91" s="29"/>
      <x:c r="D91" s="29"/>
      <x:c r="E91" s="29"/>
      <x:c r="F91" s="30"/>
      <x:c r="G91" s="30"/>
      <x:c r="H91" s="30"/>
      <x:c r="I91" s="29"/>
      <x:c r="J91" s="27" t="str">
        <x:f>IF(COUNTA(A91:I91)=0,"",IF(OR(NOT(ISNUMBER(A91)),B91="",AND(C91&lt;&gt;"Sale",C91&lt;&gt;"Purchase",C91&lt;&gt;"Adjustment"),COUNTIFS(Products!$A$6:$A$105,D91)&lt;&gt;1,NOT(ISNUMBER(E91)),E91=0,AND(C91&lt;&gt;"Adjustment",E91&lt;0)),"Check inputs",IF(AND(C91="Sale",OR(NOT(ISNUMBER(F91)),NOT(ISNUMBER(G91)),NOT(ISNUMBER(H91)),F91&lt;0,G91&lt;0,H91&lt;0,G91&gt;E91*F91)),"Check sale amounts","OK")))</x:f>
      </x:c>
      <x:c r="K91" s="28" t="str">
        <x:f>IF(J91="","",IF(J91&lt;&gt;"OK","Fix row",IF(C91="Sale",E91*F91-G91,0)))</x:f>
      </x:c>
      <x:c r="L91" s="28" t="str">
        <x:f>IF(J91="","",IF(J91&lt;&gt;"OK","Fix row",IF(C91="Sale",K91-E91*H91,0)))</x:f>
      </x:c>
    </x:row>
    <x:row r="92" ht="27" customHeight="1">
      <x:c r="A92" s="39"/>
      <x:c r="B92" s="29"/>
      <x:c r="C92" s="29"/>
      <x:c r="D92" s="29"/>
      <x:c r="E92" s="29"/>
      <x:c r="F92" s="30"/>
      <x:c r="G92" s="30"/>
      <x:c r="H92" s="30"/>
      <x:c r="I92" s="29"/>
      <x:c r="J92" s="25" t="str">
        <x:f>IF(COUNTA(A92:I92)=0,"",IF(OR(NOT(ISNUMBER(A92)),B92="",AND(C92&lt;&gt;"Sale",C92&lt;&gt;"Purchase",C92&lt;&gt;"Adjustment"),COUNTIFS(Products!$A$6:$A$105,D92)&lt;&gt;1,NOT(ISNUMBER(E92)),E92=0,AND(C92&lt;&gt;"Adjustment",E92&lt;0)),"Check inputs",IF(AND(C92="Sale",OR(NOT(ISNUMBER(F92)),NOT(ISNUMBER(G92)),NOT(ISNUMBER(H92)),F92&lt;0,G92&lt;0,H92&lt;0,G92&gt;E92*F92)),"Check sale amounts","OK")))</x:f>
      </x:c>
      <x:c r="K92" s="26" t="str">
        <x:f>IF(J92="","",IF(J92&lt;&gt;"OK","Fix row",IF(C92="Sale",E92*F92-G92,0)))</x:f>
      </x:c>
      <x:c r="L92" s="26" t="str">
        <x:f>IF(J92="","",IF(J92&lt;&gt;"OK","Fix row",IF(C92="Sale",K92-E92*H92,0)))</x:f>
      </x:c>
    </x:row>
    <x:row r="93" ht="27" customHeight="1">
      <x:c r="A93" s="39"/>
      <x:c r="B93" s="29"/>
      <x:c r="C93" s="29"/>
      <x:c r="D93" s="29"/>
      <x:c r="E93" s="29"/>
      <x:c r="F93" s="30"/>
      <x:c r="G93" s="30"/>
      <x:c r="H93" s="30"/>
      <x:c r="I93" s="29"/>
      <x:c r="J93" s="27" t="str">
        <x:f>IF(COUNTA(A93:I93)=0,"",IF(OR(NOT(ISNUMBER(A93)),B93="",AND(C93&lt;&gt;"Sale",C93&lt;&gt;"Purchase",C93&lt;&gt;"Adjustment"),COUNTIFS(Products!$A$6:$A$105,D93)&lt;&gt;1,NOT(ISNUMBER(E93)),E93=0,AND(C93&lt;&gt;"Adjustment",E93&lt;0)),"Check inputs",IF(AND(C93="Sale",OR(NOT(ISNUMBER(F93)),NOT(ISNUMBER(G93)),NOT(ISNUMBER(H93)),F93&lt;0,G93&lt;0,H93&lt;0,G93&gt;E93*F93)),"Check sale amounts","OK")))</x:f>
      </x:c>
      <x:c r="K93" s="28" t="str">
        <x:f>IF(J93="","",IF(J93&lt;&gt;"OK","Fix row",IF(C93="Sale",E93*F93-G93,0)))</x:f>
      </x:c>
      <x:c r="L93" s="28" t="str">
        <x:f>IF(J93="","",IF(J93&lt;&gt;"OK","Fix row",IF(C93="Sale",K93-E93*H93,0)))</x:f>
      </x:c>
    </x:row>
    <x:row r="94" ht="27" customHeight="1">
      <x:c r="A94" s="39"/>
      <x:c r="B94" s="29"/>
      <x:c r="C94" s="29"/>
      <x:c r="D94" s="29"/>
      <x:c r="E94" s="29"/>
      <x:c r="F94" s="30"/>
      <x:c r="G94" s="30"/>
      <x:c r="H94" s="30"/>
      <x:c r="I94" s="29"/>
      <x:c r="J94" s="25" t="str">
        <x:f>IF(COUNTA(A94:I94)=0,"",IF(OR(NOT(ISNUMBER(A94)),B94="",AND(C94&lt;&gt;"Sale",C94&lt;&gt;"Purchase",C94&lt;&gt;"Adjustment"),COUNTIFS(Products!$A$6:$A$105,D94)&lt;&gt;1,NOT(ISNUMBER(E94)),E94=0,AND(C94&lt;&gt;"Adjustment",E94&lt;0)),"Check inputs",IF(AND(C94="Sale",OR(NOT(ISNUMBER(F94)),NOT(ISNUMBER(G94)),NOT(ISNUMBER(H94)),F94&lt;0,G94&lt;0,H94&lt;0,G94&gt;E94*F94)),"Check sale amounts","OK")))</x:f>
      </x:c>
      <x:c r="K94" s="26" t="str">
        <x:f>IF(J94="","",IF(J94&lt;&gt;"OK","Fix row",IF(C94="Sale",E94*F94-G94,0)))</x:f>
      </x:c>
      <x:c r="L94" s="26" t="str">
        <x:f>IF(J94="","",IF(J94&lt;&gt;"OK","Fix row",IF(C94="Sale",K94-E94*H94,0)))</x:f>
      </x:c>
    </x:row>
    <x:row r="95" ht="27" customHeight="1">
      <x:c r="A95" s="39"/>
      <x:c r="B95" s="29"/>
      <x:c r="C95" s="29"/>
      <x:c r="D95" s="29"/>
      <x:c r="E95" s="29"/>
      <x:c r="F95" s="30"/>
      <x:c r="G95" s="30"/>
      <x:c r="H95" s="30"/>
      <x:c r="I95" s="29"/>
      <x:c r="J95" s="27" t="str">
        <x:f>IF(COUNTA(A95:I95)=0,"",IF(OR(NOT(ISNUMBER(A95)),B95="",AND(C95&lt;&gt;"Sale",C95&lt;&gt;"Purchase",C95&lt;&gt;"Adjustment"),COUNTIFS(Products!$A$6:$A$105,D95)&lt;&gt;1,NOT(ISNUMBER(E95)),E95=0,AND(C95&lt;&gt;"Adjustment",E95&lt;0)),"Check inputs",IF(AND(C95="Sale",OR(NOT(ISNUMBER(F95)),NOT(ISNUMBER(G95)),NOT(ISNUMBER(H95)),F95&lt;0,G95&lt;0,H95&lt;0,G95&gt;E95*F95)),"Check sale amounts","OK")))</x:f>
      </x:c>
      <x:c r="K95" s="28" t="str">
        <x:f>IF(J95="","",IF(J95&lt;&gt;"OK","Fix row",IF(C95="Sale",E95*F95-G95,0)))</x:f>
      </x:c>
      <x:c r="L95" s="28" t="str">
        <x:f>IF(J95="","",IF(J95&lt;&gt;"OK","Fix row",IF(C95="Sale",K95-E95*H95,0)))</x:f>
      </x:c>
    </x:row>
    <x:row r="96" ht="27" customHeight="1">
      <x:c r="A96" s="39"/>
      <x:c r="B96" s="29"/>
      <x:c r="C96" s="29"/>
      <x:c r="D96" s="29"/>
      <x:c r="E96" s="29"/>
      <x:c r="F96" s="30"/>
      <x:c r="G96" s="30"/>
      <x:c r="H96" s="30"/>
      <x:c r="I96" s="29"/>
      <x:c r="J96" s="25" t="str">
        <x:f>IF(COUNTA(A96:I96)=0,"",IF(OR(NOT(ISNUMBER(A96)),B96="",AND(C96&lt;&gt;"Sale",C96&lt;&gt;"Purchase",C96&lt;&gt;"Adjustment"),COUNTIFS(Products!$A$6:$A$105,D96)&lt;&gt;1,NOT(ISNUMBER(E96)),E96=0,AND(C96&lt;&gt;"Adjustment",E96&lt;0)),"Check inputs",IF(AND(C96="Sale",OR(NOT(ISNUMBER(F96)),NOT(ISNUMBER(G96)),NOT(ISNUMBER(H96)),F96&lt;0,G96&lt;0,H96&lt;0,G96&gt;E96*F96)),"Check sale amounts","OK")))</x:f>
      </x:c>
      <x:c r="K96" s="26" t="str">
        <x:f>IF(J96="","",IF(J96&lt;&gt;"OK","Fix row",IF(C96="Sale",E96*F96-G96,0)))</x:f>
      </x:c>
      <x:c r="L96" s="26" t="str">
        <x:f>IF(J96="","",IF(J96&lt;&gt;"OK","Fix row",IF(C96="Sale",K96-E96*H96,0)))</x:f>
      </x:c>
    </x:row>
    <x:row r="97" ht="27" customHeight="1">
      <x:c r="A97" s="39"/>
      <x:c r="B97" s="29"/>
      <x:c r="C97" s="29"/>
      <x:c r="D97" s="29"/>
      <x:c r="E97" s="29"/>
      <x:c r="F97" s="30"/>
      <x:c r="G97" s="30"/>
      <x:c r="H97" s="30"/>
      <x:c r="I97" s="29"/>
      <x:c r="J97" s="27" t="str">
        <x:f>IF(COUNTA(A97:I97)=0,"",IF(OR(NOT(ISNUMBER(A97)),B97="",AND(C97&lt;&gt;"Sale",C97&lt;&gt;"Purchase",C97&lt;&gt;"Adjustment"),COUNTIFS(Products!$A$6:$A$105,D97)&lt;&gt;1,NOT(ISNUMBER(E97)),E97=0,AND(C97&lt;&gt;"Adjustment",E97&lt;0)),"Check inputs",IF(AND(C97="Sale",OR(NOT(ISNUMBER(F97)),NOT(ISNUMBER(G97)),NOT(ISNUMBER(H97)),F97&lt;0,G97&lt;0,H97&lt;0,G97&gt;E97*F97)),"Check sale amounts","OK")))</x:f>
      </x:c>
      <x:c r="K97" s="28" t="str">
        <x:f>IF(J97="","",IF(J97&lt;&gt;"OK","Fix row",IF(C97="Sale",E97*F97-G97,0)))</x:f>
      </x:c>
      <x:c r="L97" s="28" t="str">
        <x:f>IF(J97="","",IF(J97&lt;&gt;"OK","Fix row",IF(C97="Sale",K97-E97*H97,0)))</x:f>
      </x:c>
    </x:row>
    <x:row r="98" ht="27" customHeight="1">
      <x:c r="A98" s="39"/>
      <x:c r="B98" s="29"/>
      <x:c r="C98" s="29"/>
      <x:c r="D98" s="29"/>
      <x:c r="E98" s="29"/>
      <x:c r="F98" s="30"/>
      <x:c r="G98" s="30"/>
      <x:c r="H98" s="30"/>
      <x:c r="I98" s="29"/>
      <x:c r="J98" s="25" t="str">
        <x:f>IF(COUNTA(A98:I98)=0,"",IF(OR(NOT(ISNUMBER(A98)),B98="",AND(C98&lt;&gt;"Sale",C98&lt;&gt;"Purchase",C98&lt;&gt;"Adjustment"),COUNTIFS(Products!$A$6:$A$105,D98)&lt;&gt;1,NOT(ISNUMBER(E98)),E98=0,AND(C98&lt;&gt;"Adjustment",E98&lt;0)),"Check inputs",IF(AND(C98="Sale",OR(NOT(ISNUMBER(F98)),NOT(ISNUMBER(G98)),NOT(ISNUMBER(H98)),F98&lt;0,G98&lt;0,H98&lt;0,G98&gt;E98*F98)),"Check sale amounts","OK")))</x:f>
      </x:c>
      <x:c r="K98" s="26" t="str">
        <x:f>IF(J98="","",IF(J98&lt;&gt;"OK","Fix row",IF(C98="Sale",E98*F98-G98,0)))</x:f>
      </x:c>
      <x:c r="L98" s="26" t="str">
        <x:f>IF(J98="","",IF(J98&lt;&gt;"OK","Fix row",IF(C98="Sale",K98-E98*H98,0)))</x:f>
      </x:c>
    </x:row>
    <x:row r="99" ht="27" customHeight="1">
      <x:c r="A99" s="39"/>
      <x:c r="B99" s="29"/>
      <x:c r="C99" s="29"/>
      <x:c r="D99" s="29"/>
      <x:c r="E99" s="29"/>
      <x:c r="F99" s="30"/>
      <x:c r="G99" s="30"/>
      <x:c r="H99" s="30"/>
      <x:c r="I99" s="29"/>
      <x:c r="J99" s="27" t="str">
        <x:f>IF(COUNTA(A99:I99)=0,"",IF(OR(NOT(ISNUMBER(A99)),B99="",AND(C99&lt;&gt;"Sale",C99&lt;&gt;"Purchase",C99&lt;&gt;"Adjustment"),COUNTIFS(Products!$A$6:$A$105,D99)&lt;&gt;1,NOT(ISNUMBER(E99)),E99=0,AND(C99&lt;&gt;"Adjustment",E99&lt;0)),"Check inputs",IF(AND(C99="Sale",OR(NOT(ISNUMBER(F99)),NOT(ISNUMBER(G99)),NOT(ISNUMBER(H99)),F99&lt;0,G99&lt;0,H99&lt;0,G99&gt;E99*F99)),"Check sale amounts","OK")))</x:f>
      </x:c>
      <x:c r="K99" s="28" t="str">
        <x:f>IF(J99="","",IF(J99&lt;&gt;"OK","Fix row",IF(C99="Sale",E99*F99-G99,0)))</x:f>
      </x:c>
      <x:c r="L99" s="28" t="str">
        <x:f>IF(J99="","",IF(J99&lt;&gt;"OK","Fix row",IF(C99="Sale",K99-E99*H99,0)))</x:f>
      </x:c>
    </x:row>
    <x:row r="100" ht="27" customHeight="1">
      <x:c r="A100" s="39"/>
      <x:c r="B100" s="29"/>
      <x:c r="C100" s="29"/>
      <x:c r="D100" s="29"/>
      <x:c r="E100" s="29"/>
      <x:c r="F100" s="30"/>
      <x:c r="G100" s="30"/>
      <x:c r="H100" s="30"/>
      <x:c r="I100" s="29"/>
      <x:c r="J100" s="25" t="str">
        <x:f>IF(COUNTA(A100:I100)=0,"",IF(OR(NOT(ISNUMBER(A100)),B100="",AND(C100&lt;&gt;"Sale",C100&lt;&gt;"Purchase",C100&lt;&gt;"Adjustment"),COUNTIFS(Products!$A$6:$A$105,D100)&lt;&gt;1,NOT(ISNUMBER(E100)),E100=0,AND(C100&lt;&gt;"Adjustment",E100&lt;0)),"Check inputs",IF(AND(C100="Sale",OR(NOT(ISNUMBER(F100)),NOT(ISNUMBER(G100)),NOT(ISNUMBER(H100)),F100&lt;0,G100&lt;0,H100&lt;0,G100&gt;E100*F100)),"Check sale amounts","OK")))</x:f>
      </x:c>
      <x:c r="K100" s="26" t="str">
        <x:f>IF(J100="","",IF(J100&lt;&gt;"OK","Fix row",IF(C100="Sale",E100*F100-G100,0)))</x:f>
      </x:c>
      <x:c r="L100" s="26" t="str">
        <x:f>IF(J100="","",IF(J100&lt;&gt;"OK","Fix row",IF(C100="Sale",K100-E100*H100,0)))</x:f>
      </x:c>
    </x:row>
    <x:row r="101" ht="27" customHeight="1">
      <x:c r="A101" s="39"/>
      <x:c r="B101" s="29"/>
      <x:c r="C101" s="29"/>
      <x:c r="D101" s="29"/>
      <x:c r="E101" s="29"/>
      <x:c r="F101" s="30"/>
      <x:c r="G101" s="30"/>
      <x:c r="H101" s="30"/>
      <x:c r="I101" s="29"/>
      <x:c r="J101" s="27" t="str">
        <x:f>IF(COUNTA(A101:I101)=0,"",IF(OR(NOT(ISNUMBER(A101)),B101="",AND(C101&lt;&gt;"Sale",C101&lt;&gt;"Purchase",C101&lt;&gt;"Adjustment"),COUNTIFS(Products!$A$6:$A$105,D101)&lt;&gt;1,NOT(ISNUMBER(E101)),E101=0,AND(C101&lt;&gt;"Adjustment",E101&lt;0)),"Check inputs",IF(AND(C101="Sale",OR(NOT(ISNUMBER(F101)),NOT(ISNUMBER(G101)),NOT(ISNUMBER(H101)),F101&lt;0,G101&lt;0,H101&lt;0,G101&gt;E101*F101)),"Check sale amounts","OK")))</x:f>
      </x:c>
      <x:c r="K101" s="28" t="str">
        <x:f>IF(J101="","",IF(J101&lt;&gt;"OK","Fix row",IF(C101="Sale",E101*F101-G101,0)))</x:f>
      </x:c>
      <x:c r="L101" s="28" t="str">
        <x:f>IF(J101="","",IF(J101&lt;&gt;"OK","Fix row",IF(C101="Sale",K101-E101*H101,0)))</x:f>
      </x:c>
    </x:row>
    <x:row r="102" ht="27" customHeight="1">
      <x:c r="A102" s="39"/>
      <x:c r="B102" s="29"/>
      <x:c r="C102" s="29"/>
      <x:c r="D102" s="29"/>
      <x:c r="E102" s="29"/>
      <x:c r="F102" s="30"/>
      <x:c r="G102" s="30"/>
      <x:c r="H102" s="30"/>
      <x:c r="I102" s="29"/>
      <x:c r="J102" s="25" t="str">
        <x:f>IF(COUNTA(A102:I102)=0,"",IF(OR(NOT(ISNUMBER(A102)),B102="",AND(C102&lt;&gt;"Sale",C102&lt;&gt;"Purchase",C102&lt;&gt;"Adjustment"),COUNTIFS(Products!$A$6:$A$105,D102)&lt;&gt;1,NOT(ISNUMBER(E102)),E102=0,AND(C102&lt;&gt;"Adjustment",E102&lt;0)),"Check inputs",IF(AND(C102="Sale",OR(NOT(ISNUMBER(F102)),NOT(ISNUMBER(G102)),NOT(ISNUMBER(H102)),F102&lt;0,G102&lt;0,H102&lt;0,G102&gt;E102*F102)),"Check sale amounts","OK")))</x:f>
      </x:c>
      <x:c r="K102" s="26" t="str">
        <x:f>IF(J102="","",IF(J102&lt;&gt;"OK","Fix row",IF(C102="Sale",E102*F102-G102,0)))</x:f>
      </x:c>
      <x:c r="L102" s="26" t="str">
        <x:f>IF(J102="","",IF(J102&lt;&gt;"OK","Fix row",IF(C102="Sale",K102-E102*H102,0)))</x:f>
      </x:c>
    </x:row>
    <x:row r="103" ht="27" customHeight="1">
      <x:c r="A103" s="39"/>
      <x:c r="B103" s="29"/>
      <x:c r="C103" s="29"/>
      <x:c r="D103" s="29"/>
      <x:c r="E103" s="29"/>
      <x:c r="F103" s="30"/>
      <x:c r="G103" s="30"/>
      <x:c r="H103" s="30"/>
      <x:c r="I103" s="29"/>
      <x:c r="J103" s="27" t="str">
        <x:f>IF(COUNTA(A103:I103)=0,"",IF(OR(NOT(ISNUMBER(A103)),B103="",AND(C103&lt;&gt;"Sale",C103&lt;&gt;"Purchase",C103&lt;&gt;"Adjustment"),COUNTIFS(Products!$A$6:$A$105,D103)&lt;&gt;1,NOT(ISNUMBER(E103)),E103=0,AND(C103&lt;&gt;"Adjustment",E103&lt;0)),"Check inputs",IF(AND(C103="Sale",OR(NOT(ISNUMBER(F103)),NOT(ISNUMBER(G103)),NOT(ISNUMBER(H103)),F103&lt;0,G103&lt;0,H103&lt;0,G103&gt;E103*F103)),"Check sale amounts","OK")))</x:f>
      </x:c>
      <x:c r="K103" s="28" t="str">
        <x:f>IF(J103="","",IF(J103&lt;&gt;"OK","Fix row",IF(C103="Sale",E103*F103-G103,0)))</x:f>
      </x:c>
      <x:c r="L103" s="28" t="str">
        <x:f>IF(J103="","",IF(J103&lt;&gt;"OK","Fix row",IF(C103="Sale",K103-E103*H103,0)))</x:f>
      </x:c>
    </x:row>
    <x:row r="104" ht="27" customHeight="1">
      <x:c r="A104" s="39"/>
      <x:c r="B104" s="29"/>
      <x:c r="C104" s="29"/>
      <x:c r="D104" s="29"/>
      <x:c r="E104" s="29"/>
      <x:c r="F104" s="30"/>
      <x:c r="G104" s="30"/>
      <x:c r="H104" s="30"/>
      <x:c r="I104" s="29"/>
      <x:c r="J104" s="25" t="str">
        <x:f>IF(COUNTA(A104:I104)=0,"",IF(OR(NOT(ISNUMBER(A104)),B104="",AND(C104&lt;&gt;"Sale",C104&lt;&gt;"Purchase",C104&lt;&gt;"Adjustment"),COUNTIFS(Products!$A$6:$A$105,D104)&lt;&gt;1,NOT(ISNUMBER(E104)),E104=0,AND(C104&lt;&gt;"Adjustment",E104&lt;0)),"Check inputs",IF(AND(C104="Sale",OR(NOT(ISNUMBER(F104)),NOT(ISNUMBER(G104)),NOT(ISNUMBER(H104)),F104&lt;0,G104&lt;0,H104&lt;0,G104&gt;E104*F104)),"Check sale amounts","OK")))</x:f>
      </x:c>
      <x:c r="K104" s="26" t="str">
        <x:f>IF(J104="","",IF(J104&lt;&gt;"OK","Fix row",IF(C104="Sale",E104*F104-G104,0)))</x:f>
      </x:c>
      <x:c r="L104" s="26" t="str">
        <x:f>IF(J104="","",IF(J104&lt;&gt;"OK","Fix row",IF(C104="Sale",K104-E104*H104,0)))</x:f>
      </x:c>
    </x:row>
    <x:row r="105" ht="27" customHeight="1">
      <x:c r="A105" s="39"/>
      <x:c r="B105" s="29"/>
      <x:c r="C105" s="29"/>
      <x:c r="D105" s="29"/>
      <x:c r="E105" s="29"/>
      <x:c r="F105" s="30"/>
      <x:c r="G105" s="30"/>
      <x:c r="H105" s="30"/>
      <x:c r="I105" s="29"/>
      <x:c r="J105" s="27" t="str">
        <x:f>IF(COUNTA(A105:I105)=0,"",IF(OR(NOT(ISNUMBER(A105)),B105="",AND(C105&lt;&gt;"Sale",C105&lt;&gt;"Purchase",C105&lt;&gt;"Adjustment"),COUNTIFS(Products!$A$6:$A$105,D105)&lt;&gt;1,NOT(ISNUMBER(E105)),E105=0,AND(C105&lt;&gt;"Adjustment",E105&lt;0)),"Check inputs",IF(AND(C105="Sale",OR(NOT(ISNUMBER(F105)),NOT(ISNUMBER(G105)),NOT(ISNUMBER(H105)),F105&lt;0,G105&lt;0,H105&lt;0,G105&gt;E105*F105)),"Check sale amounts","OK")))</x:f>
      </x:c>
      <x:c r="K105" s="28" t="str">
        <x:f>IF(J105="","",IF(J105&lt;&gt;"OK","Fix row",IF(C105="Sale",E105*F105-G105,0)))</x:f>
      </x:c>
      <x:c r="L105" s="28" t="str">
        <x:f>IF(J105="","",IF(J105&lt;&gt;"OK","Fix row",IF(C105="Sale",K105-E105*H105,0)))</x:f>
      </x:c>
    </x:row>
    <x:row r="106" ht="27" customHeight="1">
      <x:c r="A106" s="39"/>
      <x:c r="B106" s="29"/>
      <x:c r="C106" s="29"/>
      <x:c r="D106" s="29"/>
      <x:c r="E106" s="29"/>
      <x:c r="F106" s="30"/>
      <x:c r="G106" s="30"/>
      <x:c r="H106" s="30"/>
      <x:c r="I106" s="29"/>
      <x:c r="J106" s="25" t="str">
        <x:f>IF(COUNTA(A106:I106)=0,"",IF(OR(NOT(ISNUMBER(A106)),B106="",AND(C106&lt;&gt;"Sale",C106&lt;&gt;"Purchase",C106&lt;&gt;"Adjustment"),COUNTIFS(Products!$A$6:$A$105,D106)&lt;&gt;1,NOT(ISNUMBER(E106)),E106=0,AND(C106&lt;&gt;"Adjustment",E106&lt;0)),"Check inputs",IF(AND(C106="Sale",OR(NOT(ISNUMBER(F106)),NOT(ISNUMBER(G106)),NOT(ISNUMBER(H106)),F106&lt;0,G106&lt;0,H106&lt;0,G106&gt;E106*F106)),"Check sale amounts","OK")))</x:f>
      </x:c>
      <x:c r="K106" s="26" t="str">
        <x:f>IF(J106="","",IF(J106&lt;&gt;"OK","Fix row",IF(C106="Sale",E106*F106-G106,0)))</x:f>
      </x:c>
      <x:c r="L106" s="26" t="str">
        <x:f>IF(J106="","",IF(J106&lt;&gt;"OK","Fix row",IF(C106="Sale",K106-E106*H106,0)))</x:f>
      </x:c>
    </x:row>
    <x:row r="107" ht="27" customHeight="1">
      <x:c r="A107" s="39"/>
      <x:c r="B107" s="29"/>
      <x:c r="C107" s="29"/>
      <x:c r="D107" s="29"/>
      <x:c r="E107" s="29"/>
      <x:c r="F107" s="30"/>
      <x:c r="G107" s="30"/>
      <x:c r="H107" s="30"/>
      <x:c r="I107" s="29"/>
      <x:c r="J107" s="27" t="str">
        <x:f>IF(COUNTA(A107:I107)=0,"",IF(OR(NOT(ISNUMBER(A107)),B107="",AND(C107&lt;&gt;"Sale",C107&lt;&gt;"Purchase",C107&lt;&gt;"Adjustment"),COUNTIFS(Products!$A$6:$A$105,D107)&lt;&gt;1,NOT(ISNUMBER(E107)),E107=0,AND(C107&lt;&gt;"Adjustment",E107&lt;0)),"Check inputs",IF(AND(C107="Sale",OR(NOT(ISNUMBER(F107)),NOT(ISNUMBER(G107)),NOT(ISNUMBER(H107)),F107&lt;0,G107&lt;0,H107&lt;0,G107&gt;E107*F107)),"Check sale amounts","OK")))</x:f>
      </x:c>
      <x:c r="K107" s="28" t="str">
        <x:f>IF(J107="","",IF(J107&lt;&gt;"OK","Fix row",IF(C107="Sale",E107*F107-G107,0)))</x:f>
      </x:c>
      <x:c r="L107" s="28" t="str">
        <x:f>IF(J107="","",IF(J107&lt;&gt;"OK","Fix row",IF(C107="Sale",K107-E107*H107,0)))</x:f>
      </x:c>
    </x:row>
    <x:row r="108" ht="27" customHeight="1">
      <x:c r="A108" s="39"/>
      <x:c r="B108" s="29"/>
      <x:c r="C108" s="29"/>
      <x:c r="D108" s="29"/>
      <x:c r="E108" s="29"/>
      <x:c r="F108" s="30"/>
      <x:c r="G108" s="30"/>
      <x:c r="H108" s="30"/>
      <x:c r="I108" s="29"/>
      <x:c r="J108" s="25" t="str">
        <x:f>IF(COUNTA(A108:I108)=0,"",IF(OR(NOT(ISNUMBER(A108)),B108="",AND(C108&lt;&gt;"Sale",C108&lt;&gt;"Purchase",C108&lt;&gt;"Adjustment"),COUNTIFS(Products!$A$6:$A$105,D108)&lt;&gt;1,NOT(ISNUMBER(E108)),E108=0,AND(C108&lt;&gt;"Adjustment",E108&lt;0)),"Check inputs",IF(AND(C108="Sale",OR(NOT(ISNUMBER(F108)),NOT(ISNUMBER(G108)),NOT(ISNUMBER(H108)),F108&lt;0,G108&lt;0,H108&lt;0,G108&gt;E108*F108)),"Check sale amounts","OK")))</x:f>
      </x:c>
      <x:c r="K108" s="26" t="str">
        <x:f>IF(J108="","",IF(J108&lt;&gt;"OK","Fix row",IF(C108="Sale",E108*F108-G108,0)))</x:f>
      </x:c>
      <x:c r="L108" s="26" t="str">
        <x:f>IF(J108="","",IF(J108&lt;&gt;"OK","Fix row",IF(C108="Sale",K108-E108*H108,0)))</x:f>
      </x:c>
    </x:row>
    <x:row r="109" ht="27" customHeight="1">
      <x:c r="A109" s="39"/>
      <x:c r="B109" s="29"/>
      <x:c r="C109" s="29"/>
      <x:c r="D109" s="29"/>
      <x:c r="E109" s="29"/>
      <x:c r="F109" s="30"/>
      <x:c r="G109" s="30"/>
      <x:c r="H109" s="30"/>
      <x:c r="I109" s="29"/>
      <x:c r="J109" s="27" t="str">
        <x:f>IF(COUNTA(A109:I109)=0,"",IF(OR(NOT(ISNUMBER(A109)),B109="",AND(C109&lt;&gt;"Sale",C109&lt;&gt;"Purchase",C109&lt;&gt;"Adjustment"),COUNTIFS(Products!$A$6:$A$105,D109)&lt;&gt;1,NOT(ISNUMBER(E109)),E109=0,AND(C109&lt;&gt;"Adjustment",E109&lt;0)),"Check inputs",IF(AND(C109="Sale",OR(NOT(ISNUMBER(F109)),NOT(ISNUMBER(G109)),NOT(ISNUMBER(H109)),F109&lt;0,G109&lt;0,H109&lt;0,G109&gt;E109*F109)),"Check sale amounts","OK")))</x:f>
      </x:c>
      <x:c r="K109" s="28" t="str">
        <x:f>IF(J109="","",IF(J109&lt;&gt;"OK","Fix row",IF(C109="Sale",E109*F109-G109,0)))</x:f>
      </x:c>
      <x:c r="L109" s="28" t="str">
        <x:f>IF(J109="","",IF(J109&lt;&gt;"OK","Fix row",IF(C109="Sale",K109-E109*H109,0)))</x:f>
      </x:c>
    </x:row>
    <x:row r="110" ht="27" customHeight="1">
      <x:c r="A110" s="39"/>
      <x:c r="B110" s="29"/>
      <x:c r="C110" s="29"/>
      <x:c r="D110" s="29"/>
      <x:c r="E110" s="29"/>
      <x:c r="F110" s="30"/>
      <x:c r="G110" s="30"/>
      <x:c r="H110" s="30"/>
      <x:c r="I110" s="29"/>
      <x:c r="J110" s="25" t="str">
        <x:f>IF(COUNTA(A110:I110)=0,"",IF(OR(NOT(ISNUMBER(A110)),B110="",AND(C110&lt;&gt;"Sale",C110&lt;&gt;"Purchase",C110&lt;&gt;"Adjustment"),COUNTIFS(Products!$A$6:$A$105,D110)&lt;&gt;1,NOT(ISNUMBER(E110)),E110=0,AND(C110&lt;&gt;"Adjustment",E110&lt;0)),"Check inputs",IF(AND(C110="Sale",OR(NOT(ISNUMBER(F110)),NOT(ISNUMBER(G110)),NOT(ISNUMBER(H110)),F110&lt;0,G110&lt;0,H110&lt;0,G110&gt;E110*F110)),"Check sale amounts","OK")))</x:f>
      </x:c>
      <x:c r="K110" s="26" t="str">
        <x:f>IF(J110="","",IF(J110&lt;&gt;"OK","Fix row",IF(C110="Sale",E110*F110-G110,0)))</x:f>
      </x:c>
      <x:c r="L110" s="26" t="str">
        <x:f>IF(J110="","",IF(J110&lt;&gt;"OK","Fix row",IF(C110="Sale",K110-E110*H110,0)))</x:f>
      </x:c>
    </x:row>
    <x:row r="111" ht="27" customHeight="1">
      <x:c r="A111" s="40"/>
      <x:c r="B111" s="41"/>
      <x:c r="C111" s="41"/>
      <x:c r="D111" s="41"/>
      <x:c r="E111" s="41"/>
      <x:c r="F111" s="42"/>
      <x:c r="G111" s="42"/>
      <x:c r="H111" s="42"/>
      <x:c r="I111" s="41"/>
      <x:c r="J111" s="34" t="str">
        <x:f>IF(COUNTA(A111:I111)=0,"",IF(OR(NOT(ISNUMBER(A111)),B111="",AND(C111&lt;&gt;"Sale",C111&lt;&gt;"Purchase",C111&lt;&gt;"Adjustment"),COUNTIFS(Products!$A$6:$A$105,D111)&lt;&gt;1,NOT(ISNUMBER(E111)),E111=0,AND(C111&lt;&gt;"Adjustment",E111&lt;0)),"Check inputs",IF(AND(C111="Sale",OR(NOT(ISNUMBER(F111)),NOT(ISNUMBER(G111)),NOT(ISNUMBER(H111)),F111&lt;0,G111&lt;0,H111&lt;0,G111&gt;E111*F111)),"Check sale amounts","OK")))</x:f>
      </x:c>
      <x:c r="K111" s="35" t="str">
        <x:f>IF(J111="","",IF(J111&lt;&gt;"OK","Fix row",IF(C111="Sale",E111*F111-G111,0)))</x:f>
      </x:c>
      <x:c r="L111" s="35" t="str">
        <x:f>IF(J111="","",IF(J111&lt;&gt;"OK","Fix row",IF(C111="Sale",K111-E111*H111,0)))</x:f>
      </x:c>
    </x:row>
    <x:row r="112" ht="27" customHeight="1">
      <x:c r="A112" s="40"/>
      <x:c r="B112" s="41"/>
      <x:c r="C112" s="41"/>
      <x:c r="D112" s="41"/>
      <x:c r="E112" s="41"/>
      <x:c r="F112" s="42"/>
      <x:c r="G112" s="42"/>
      <x:c r="H112" s="42"/>
      <x:c r="I112" s="41"/>
      <x:c r="J112" s="37" t="str">
        <x:f>IF(COUNTA(A112:I112)=0,"",IF(OR(NOT(ISNUMBER(A112)),B112="",AND(C112&lt;&gt;"Sale",C112&lt;&gt;"Purchase",C112&lt;&gt;"Adjustment"),COUNTIFS(Products!$A$6:$A$105,D112)&lt;&gt;1,NOT(ISNUMBER(E112)),E112=0,AND(C112&lt;&gt;"Adjustment",E112&lt;0)),"Check inputs",IF(AND(C112="Sale",OR(NOT(ISNUMBER(F112)),NOT(ISNUMBER(G112)),NOT(ISNUMBER(H112)),F112&lt;0,G112&lt;0,H112&lt;0,G112&gt;E112*F112)),"Check sale amounts","OK")))</x:f>
      </x:c>
      <x:c r="K112" s="38" t="str">
        <x:f>IF(J112="","",IF(J112&lt;&gt;"OK","Fix row",IF(C112="Sale",E112*F112-G112,0)))</x:f>
      </x:c>
      <x:c r="L112" s="38" t="str">
        <x:f>IF(J112="","",IF(J112&lt;&gt;"OK","Fix row",IF(C112="Sale",K112-E112*H112,0)))</x:f>
      </x:c>
    </x:row>
    <x:row r="113" ht="27" customHeight="1">
      <x:c r="A113" s="40"/>
      <x:c r="B113" s="41"/>
      <x:c r="C113" s="41"/>
      <x:c r="D113" s="41"/>
      <x:c r="E113" s="41"/>
      <x:c r="F113" s="42"/>
      <x:c r="G113" s="42"/>
      <x:c r="H113" s="42"/>
      <x:c r="I113" s="41"/>
      <x:c r="J113" s="34" t="str">
        <x:f>IF(COUNTA(A113:I113)=0,"",IF(OR(NOT(ISNUMBER(A113)),B113="",AND(C113&lt;&gt;"Sale",C113&lt;&gt;"Purchase",C113&lt;&gt;"Adjustment"),COUNTIFS(Products!$A$6:$A$105,D113)&lt;&gt;1,NOT(ISNUMBER(E113)),E113=0,AND(C113&lt;&gt;"Adjustment",E113&lt;0)),"Check inputs",IF(AND(C113="Sale",OR(NOT(ISNUMBER(F113)),NOT(ISNUMBER(G113)),NOT(ISNUMBER(H113)),F113&lt;0,G113&lt;0,H113&lt;0,G113&gt;E113*F113)),"Check sale amounts","OK")))</x:f>
      </x:c>
      <x:c r="K113" s="35" t="str">
        <x:f>IF(J113="","",IF(J113&lt;&gt;"OK","Fix row",IF(C113="Sale",E113*F113-G113,0)))</x:f>
      </x:c>
      <x:c r="L113" s="35" t="str">
        <x:f>IF(J113="","",IF(J113&lt;&gt;"OK","Fix row",IF(C113="Sale",K113-E113*H113,0)))</x:f>
      </x:c>
    </x:row>
    <x:row r="114" ht="27" customHeight="1">
      <x:c r="A114" s="40"/>
      <x:c r="B114" s="41"/>
      <x:c r="C114" s="41"/>
      <x:c r="D114" s="41"/>
      <x:c r="E114" s="41"/>
      <x:c r="F114" s="42"/>
      <x:c r="G114" s="42"/>
      <x:c r="H114" s="42"/>
      <x:c r="I114" s="41"/>
      <x:c r="J114" s="37" t="str">
        <x:f>IF(COUNTA(A114:I114)=0,"",IF(OR(NOT(ISNUMBER(A114)),B114="",AND(C114&lt;&gt;"Sale",C114&lt;&gt;"Purchase",C114&lt;&gt;"Adjustment"),COUNTIFS(Products!$A$6:$A$105,D114)&lt;&gt;1,NOT(ISNUMBER(E114)),E114=0,AND(C114&lt;&gt;"Adjustment",E114&lt;0)),"Check inputs",IF(AND(C114="Sale",OR(NOT(ISNUMBER(F114)),NOT(ISNUMBER(G114)),NOT(ISNUMBER(H114)),F114&lt;0,G114&lt;0,H114&lt;0,G114&gt;E114*F114)),"Check sale amounts","OK")))</x:f>
      </x:c>
      <x:c r="K114" s="38" t="str">
        <x:f>IF(J114="","",IF(J114&lt;&gt;"OK","Fix row",IF(C114="Sale",E114*F114-G114,0)))</x:f>
      </x:c>
      <x:c r="L114" s="38" t="str">
        <x:f>IF(J114="","",IF(J114&lt;&gt;"OK","Fix row",IF(C114="Sale",K114-E114*H114,0)))</x:f>
      </x:c>
    </x:row>
    <x:row r="115" ht="27" customHeight="1">
      <x:c r="A115" s="40"/>
      <x:c r="B115" s="41"/>
      <x:c r="C115" s="41"/>
      <x:c r="D115" s="41"/>
      <x:c r="E115" s="41"/>
      <x:c r="F115" s="42"/>
      <x:c r="G115" s="42"/>
      <x:c r="H115" s="42"/>
      <x:c r="I115" s="41"/>
      <x:c r="J115" s="34" t="str">
        <x:f>IF(COUNTA(A115:I115)=0,"",IF(OR(NOT(ISNUMBER(A115)),B115="",AND(C115&lt;&gt;"Sale",C115&lt;&gt;"Purchase",C115&lt;&gt;"Adjustment"),COUNTIFS(Products!$A$6:$A$105,D115)&lt;&gt;1,NOT(ISNUMBER(E115)),E115=0,AND(C115&lt;&gt;"Adjustment",E115&lt;0)),"Check inputs",IF(AND(C115="Sale",OR(NOT(ISNUMBER(F115)),NOT(ISNUMBER(G115)),NOT(ISNUMBER(H115)),F115&lt;0,G115&lt;0,H115&lt;0,G115&gt;E115*F115)),"Check sale amounts","OK")))</x:f>
      </x:c>
      <x:c r="K115" s="35" t="str">
        <x:f>IF(J115="","",IF(J115&lt;&gt;"OK","Fix row",IF(C115="Sale",E115*F115-G115,0)))</x:f>
      </x:c>
      <x:c r="L115" s="35" t="str">
        <x:f>IF(J115="","",IF(J115&lt;&gt;"OK","Fix row",IF(C115="Sale",K115-E115*H115,0)))</x:f>
      </x:c>
    </x:row>
    <x:row r="116" ht="27" customHeight="1">
      <x:c r="A116" s="40"/>
      <x:c r="B116" s="41"/>
      <x:c r="C116" s="41"/>
      <x:c r="D116" s="41"/>
      <x:c r="E116" s="41"/>
      <x:c r="F116" s="42"/>
      <x:c r="G116" s="42"/>
      <x:c r="H116" s="42"/>
      <x:c r="I116" s="41"/>
      <x:c r="J116" s="37" t="str">
        <x:f>IF(COUNTA(A116:I116)=0,"",IF(OR(NOT(ISNUMBER(A116)),B116="",AND(C116&lt;&gt;"Sale",C116&lt;&gt;"Purchase",C116&lt;&gt;"Adjustment"),COUNTIFS(Products!$A$6:$A$105,D116)&lt;&gt;1,NOT(ISNUMBER(E116)),E116=0,AND(C116&lt;&gt;"Adjustment",E116&lt;0)),"Check inputs",IF(AND(C116="Sale",OR(NOT(ISNUMBER(F116)),NOT(ISNUMBER(G116)),NOT(ISNUMBER(H116)),F116&lt;0,G116&lt;0,H116&lt;0,G116&gt;E116*F116)),"Check sale amounts","OK")))</x:f>
      </x:c>
      <x:c r="K116" s="38" t="str">
        <x:f>IF(J116="","",IF(J116&lt;&gt;"OK","Fix row",IF(C116="Sale",E116*F116-G116,0)))</x:f>
      </x:c>
      <x:c r="L116" s="38" t="str">
        <x:f>IF(J116="","",IF(J116&lt;&gt;"OK","Fix row",IF(C116="Sale",K116-E116*H116,0)))</x:f>
      </x:c>
    </x:row>
    <x:row r="117" ht="27" customHeight="1">
      <x:c r="A117" s="40"/>
      <x:c r="B117" s="41"/>
      <x:c r="C117" s="41"/>
      <x:c r="D117" s="41"/>
      <x:c r="E117" s="41"/>
      <x:c r="F117" s="42"/>
      <x:c r="G117" s="42"/>
      <x:c r="H117" s="42"/>
      <x:c r="I117" s="41"/>
      <x:c r="J117" s="34" t="str">
        <x:f>IF(COUNTA(A117:I117)=0,"",IF(OR(NOT(ISNUMBER(A117)),B117="",AND(C117&lt;&gt;"Sale",C117&lt;&gt;"Purchase",C117&lt;&gt;"Adjustment"),COUNTIFS(Products!$A$6:$A$105,D117)&lt;&gt;1,NOT(ISNUMBER(E117)),E117=0,AND(C117&lt;&gt;"Adjustment",E117&lt;0)),"Check inputs",IF(AND(C117="Sale",OR(NOT(ISNUMBER(F117)),NOT(ISNUMBER(G117)),NOT(ISNUMBER(H117)),F117&lt;0,G117&lt;0,H117&lt;0,G117&gt;E117*F117)),"Check sale amounts","OK")))</x:f>
      </x:c>
      <x:c r="K117" s="35" t="str">
        <x:f>IF(J117="","",IF(J117&lt;&gt;"OK","Fix row",IF(C117="Sale",E117*F117-G117,0)))</x:f>
      </x:c>
      <x:c r="L117" s="35" t="str">
        <x:f>IF(J117="","",IF(J117&lt;&gt;"OK","Fix row",IF(C117="Sale",K117-E117*H117,0)))</x:f>
      </x:c>
    </x:row>
    <x:row r="118" ht="27" customHeight="1">
      <x:c r="A118" s="40"/>
      <x:c r="B118" s="41"/>
      <x:c r="C118" s="41"/>
      <x:c r="D118" s="41"/>
      <x:c r="E118" s="41"/>
      <x:c r="F118" s="42"/>
      <x:c r="G118" s="42"/>
      <x:c r="H118" s="42"/>
      <x:c r="I118" s="41"/>
      <x:c r="J118" s="37" t="str">
        <x:f>IF(COUNTA(A118:I118)=0,"",IF(OR(NOT(ISNUMBER(A118)),B118="",AND(C118&lt;&gt;"Sale",C118&lt;&gt;"Purchase",C118&lt;&gt;"Adjustment"),COUNTIFS(Products!$A$6:$A$105,D118)&lt;&gt;1,NOT(ISNUMBER(E118)),E118=0,AND(C118&lt;&gt;"Adjustment",E118&lt;0)),"Check inputs",IF(AND(C118="Sale",OR(NOT(ISNUMBER(F118)),NOT(ISNUMBER(G118)),NOT(ISNUMBER(H118)),F118&lt;0,G118&lt;0,H118&lt;0,G118&gt;E118*F118)),"Check sale amounts","OK")))</x:f>
      </x:c>
      <x:c r="K118" s="38" t="str">
        <x:f>IF(J118="","",IF(J118&lt;&gt;"OK","Fix row",IF(C118="Sale",E118*F118-G118,0)))</x:f>
      </x:c>
      <x:c r="L118" s="38" t="str">
        <x:f>IF(J118="","",IF(J118&lt;&gt;"OK","Fix row",IF(C118="Sale",K118-E118*H118,0)))</x:f>
      </x:c>
    </x:row>
    <x:row r="119" ht="27" customHeight="1">
      <x:c r="A119" s="40"/>
      <x:c r="B119" s="41"/>
      <x:c r="C119" s="41"/>
      <x:c r="D119" s="41"/>
      <x:c r="E119" s="41"/>
      <x:c r="F119" s="42"/>
      <x:c r="G119" s="42"/>
      <x:c r="H119" s="42"/>
      <x:c r="I119" s="41"/>
      <x:c r="J119" s="34" t="str">
        <x:f>IF(COUNTA(A119:I119)=0,"",IF(OR(NOT(ISNUMBER(A119)),B119="",AND(C119&lt;&gt;"Sale",C119&lt;&gt;"Purchase",C119&lt;&gt;"Adjustment"),COUNTIFS(Products!$A$6:$A$105,D119)&lt;&gt;1,NOT(ISNUMBER(E119)),E119=0,AND(C119&lt;&gt;"Adjustment",E119&lt;0)),"Check inputs",IF(AND(C119="Sale",OR(NOT(ISNUMBER(F119)),NOT(ISNUMBER(G119)),NOT(ISNUMBER(H119)),F119&lt;0,G119&lt;0,H119&lt;0,G119&gt;E119*F119)),"Check sale amounts","OK")))</x:f>
      </x:c>
      <x:c r="K119" s="35" t="str">
        <x:f>IF(J119="","",IF(J119&lt;&gt;"OK","Fix row",IF(C119="Sale",E119*F119-G119,0)))</x:f>
      </x:c>
      <x:c r="L119" s="35" t="str">
        <x:f>IF(J119="","",IF(J119&lt;&gt;"OK","Fix row",IF(C119="Sale",K119-E119*H119,0)))</x:f>
      </x:c>
    </x:row>
    <x:row r="120" ht="27" customHeight="1">
      <x:c r="A120" s="40"/>
      <x:c r="B120" s="41"/>
      <x:c r="C120" s="41"/>
      <x:c r="D120" s="41"/>
      <x:c r="E120" s="41"/>
      <x:c r="F120" s="42"/>
      <x:c r="G120" s="42"/>
      <x:c r="H120" s="42"/>
      <x:c r="I120" s="41"/>
      <x:c r="J120" s="37" t="str">
        <x:f>IF(COUNTA(A120:I120)=0,"",IF(OR(NOT(ISNUMBER(A120)),B120="",AND(C120&lt;&gt;"Sale",C120&lt;&gt;"Purchase",C120&lt;&gt;"Adjustment"),COUNTIFS(Products!$A$6:$A$105,D120)&lt;&gt;1,NOT(ISNUMBER(E120)),E120=0,AND(C120&lt;&gt;"Adjustment",E120&lt;0)),"Check inputs",IF(AND(C120="Sale",OR(NOT(ISNUMBER(F120)),NOT(ISNUMBER(G120)),NOT(ISNUMBER(H120)),F120&lt;0,G120&lt;0,H120&lt;0,G120&gt;E120*F120)),"Check sale amounts","OK")))</x:f>
      </x:c>
      <x:c r="K120" s="38" t="str">
        <x:f>IF(J120="","",IF(J120&lt;&gt;"OK","Fix row",IF(C120="Sale",E120*F120-G120,0)))</x:f>
      </x:c>
      <x:c r="L120" s="38" t="str">
        <x:f>IF(J120="","",IF(J120&lt;&gt;"OK","Fix row",IF(C120="Sale",K120-E120*H120,0)))</x:f>
      </x:c>
    </x:row>
    <x:row r="121" ht="27" customHeight="1">
      <x:c r="A121" s="40"/>
      <x:c r="B121" s="41"/>
      <x:c r="C121" s="41"/>
      <x:c r="D121" s="41"/>
      <x:c r="E121" s="41"/>
      <x:c r="F121" s="42"/>
      <x:c r="G121" s="42"/>
      <x:c r="H121" s="42"/>
      <x:c r="I121" s="41"/>
      <x:c r="J121" s="34" t="str">
        <x:f>IF(COUNTA(A121:I121)=0,"",IF(OR(NOT(ISNUMBER(A121)),B121="",AND(C121&lt;&gt;"Sale",C121&lt;&gt;"Purchase",C121&lt;&gt;"Adjustment"),COUNTIFS(Products!$A$6:$A$105,D121)&lt;&gt;1,NOT(ISNUMBER(E121)),E121=0,AND(C121&lt;&gt;"Adjustment",E121&lt;0)),"Check inputs",IF(AND(C121="Sale",OR(NOT(ISNUMBER(F121)),NOT(ISNUMBER(G121)),NOT(ISNUMBER(H121)),F121&lt;0,G121&lt;0,H121&lt;0,G121&gt;E121*F121)),"Check sale amounts","OK")))</x:f>
      </x:c>
      <x:c r="K121" s="35" t="str">
        <x:f>IF(J121="","",IF(J121&lt;&gt;"OK","Fix row",IF(C121="Sale",E121*F121-G121,0)))</x:f>
      </x:c>
      <x:c r="L121" s="35" t="str">
        <x:f>IF(J121="","",IF(J121&lt;&gt;"OK","Fix row",IF(C121="Sale",K121-E121*H121,0)))</x:f>
      </x:c>
    </x:row>
    <x:row r="122" ht="27" customHeight="1">
      <x:c r="A122" s="40"/>
      <x:c r="B122" s="41"/>
      <x:c r="C122" s="41"/>
      <x:c r="D122" s="41"/>
      <x:c r="E122" s="41"/>
      <x:c r="F122" s="42"/>
      <x:c r="G122" s="42"/>
      <x:c r="H122" s="42"/>
      <x:c r="I122" s="41"/>
      <x:c r="J122" s="37" t="str">
        <x:f>IF(COUNTA(A122:I122)=0,"",IF(OR(NOT(ISNUMBER(A122)),B122="",AND(C122&lt;&gt;"Sale",C122&lt;&gt;"Purchase",C122&lt;&gt;"Adjustment"),COUNTIFS(Products!$A$6:$A$105,D122)&lt;&gt;1,NOT(ISNUMBER(E122)),E122=0,AND(C122&lt;&gt;"Adjustment",E122&lt;0)),"Check inputs",IF(AND(C122="Sale",OR(NOT(ISNUMBER(F122)),NOT(ISNUMBER(G122)),NOT(ISNUMBER(H122)),F122&lt;0,G122&lt;0,H122&lt;0,G122&gt;E122*F122)),"Check sale amounts","OK")))</x:f>
      </x:c>
      <x:c r="K122" s="38" t="str">
        <x:f>IF(J122="","",IF(J122&lt;&gt;"OK","Fix row",IF(C122="Sale",E122*F122-G122,0)))</x:f>
      </x:c>
      <x:c r="L122" s="38" t="str">
        <x:f>IF(J122="","",IF(J122&lt;&gt;"OK","Fix row",IF(C122="Sale",K122-E122*H122,0)))</x:f>
      </x:c>
    </x:row>
    <x:row r="123" ht="27" customHeight="1">
      <x:c r="A123" s="40"/>
      <x:c r="B123" s="41"/>
      <x:c r="C123" s="41"/>
      <x:c r="D123" s="41"/>
      <x:c r="E123" s="41"/>
      <x:c r="F123" s="42"/>
      <x:c r="G123" s="42"/>
      <x:c r="H123" s="42"/>
      <x:c r="I123" s="41"/>
      <x:c r="J123" s="34" t="str">
        <x:f>IF(COUNTA(A123:I123)=0,"",IF(OR(NOT(ISNUMBER(A123)),B123="",AND(C123&lt;&gt;"Sale",C123&lt;&gt;"Purchase",C123&lt;&gt;"Adjustment"),COUNTIFS(Products!$A$6:$A$105,D123)&lt;&gt;1,NOT(ISNUMBER(E123)),E123=0,AND(C123&lt;&gt;"Adjustment",E123&lt;0)),"Check inputs",IF(AND(C123="Sale",OR(NOT(ISNUMBER(F123)),NOT(ISNUMBER(G123)),NOT(ISNUMBER(H123)),F123&lt;0,G123&lt;0,H123&lt;0,G123&gt;E123*F123)),"Check sale amounts","OK")))</x:f>
      </x:c>
      <x:c r="K123" s="35" t="str">
        <x:f>IF(J123="","",IF(J123&lt;&gt;"OK","Fix row",IF(C123="Sale",E123*F123-G123,0)))</x:f>
      </x:c>
      <x:c r="L123" s="35" t="str">
        <x:f>IF(J123="","",IF(J123&lt;&gt;"OK","Fix row",IF(C123="Sale",K123-E123*H123,0)))</x:f>
      </x:c>
    </x:row>
    <x:row r="124" ht="27" customHeight="1">
      <x:c r="A124" s="40"/>
      <x:c r="B124" s="41"/>
      <x:c r="C124" s="41"/>
      <x:c r="D124" s="41"/>
      <x:c r="E124" s="41"/>
      <x:c r="F124" s="42"/>
      <x:c r="G124" s="42"/>
      <x:c r="H124" s="42"/>
      <x:c r="I124" s="41"/>
      <x:c r="J124" s="37" t="str">
        <x:f>IF(COUNTA(A124:I124)=0,"",IF(OR(NOT(ISNUMBER(A124)),B124="",AND(C124&lt;&gt;"Sale",C124&lt;&gt;"Purchase",C124&lt;&gt;"Adjustment"),COUNTIFS(Products!$A$6:$A$105,D124)&lt;&gt;1,NOT(ISNUMBER(E124)),E124=0,AND(C124&lt;&gt;"Adjustment",E124&lt;0)),"Check inputs",IF(AND(C124="Sale",OR(NOT(ISNUMBER(F124)),NOT(ISNUMBER(G124)),NOT(ISNUMBER(H124)),F124&lt;0,G124&lt;0,H124&lt;0,G124&gt;E124*F124)),"Check sale amounts","OK")))</x:f>
      </x:c>
      <x:c r="K124" s="38" t="str">
        <x:f>IF(J124="","",IF(J124&lt;&gt;"OK","Fix row",IF(C124="Sale",E124*F124-G124,0)))</x:f>
      </x:c>
      <x:c r="L124" s="38" t="str">
        <x:f>IF(J124="","",IF(J124&lt;&gt;"OK","Fix row",IF(C124="Sale",K124-E124*H124,0)))</x:f>
      </x:c>
    </x:row>
    <x:row r="125" ht="27" customHeight="1">
      <x:c r="A125" s="40"/>
      <x:c r="B125" s="41"/>
      <x:c r="C125" s="41"/>
      <x:c r="D125" s="41"/>
      <x:c r="E125" s="41"/>
      <x:c r="F125" s="42"/>
      <x:c r="G125" s="42"/>
      <x:c r="H125" s="42"/>
      <x:c r="I125" s="41"/>
      <x:c r="J125" s="34" t="str">
        <x:f>IF(COUNTA(A125:I125)=0,"",IF(OR(NOT(ISNUMBER(A125)),B125="",AND(C125&lt;&gt;"Sale",C125&lt;&gt;"Purchase",C125&lt;&gt;"Adjustment"),COUNTIFS(Products!$A$6:$A$105,D125)&lt;&gt;1,NOT(ISNUMBER(E125)),E125=0,AND(C125&lt;&gt;"Adjustment",E125&lt;0)),"Check inputs",IF(AND(C125="Sale",OR(NOT(ISNUMBER(F125)),NOT(ISNUMBER(G125)),NOT(ISNUMBER(H125)),F125&lt;0,G125&lt;0,H125&lt;0,G125&gt;E125*F125)),"Check sale amounts","OK")))</x:f>
      </x:c>
      <x:c r="K125" s="35" t="str">
        <x:f>IF(J125="","",IF(J125&lt;&gt;"OK","Fix row",IF(C125="Sale",E125*F125-G125,0)))</x:f>
      </x:c>
      <x:c r="L125" s="35" t="str">
        <x:f>IF(J125="","",IF(J125&lt;&gt;"OK","Fix row",IF(C125="Sale",K125-E125*H125,0)))</x:f>
      </x:c>
    </x:row>
    <x:row r="126" ht="27" customHeight="1">
      <x:c r="A126" s="40"/>
      <x:c r="B126" s="41"/>
      <x:c r="C126" s="41"/>
      <x:c r="D126" s="41"/>
      <x:c r="E126" s="41"/>
      <x:c r="F126" s="42"/>
      <x:c r="G126" s="42"/>
      <x:c r="H126" s="42"/>
      <x:c r="I126" s="41"/>
      <x:c r="J126" s="37" t="str">
        <x:f>IF(COUNTA(A126:I126)=0,"",IF(OR(NOT(ISNUMBER(A126)),B126="",AND(C126&lt;&gt;"Sale",C126&lt;&gt;"Purchase",C126&lt;&gt;"Adjustment"),COUNTIFS(Products!$A$6:$A$105,D126)&lt;&gt;1,NOT(ISNUMBER(E126)),E126=0,AND(C126&lt;&gt;"Adjustment",E126&lt;0)),"Check inputs",IF(AND(C126="Sale",OR(NOT(ISNUMBER(F126)),NOT(ISNUMBER(G126)),NOT(ISNUMBER(H126)),F126&lt;0,G126&lt;0,H126&lt;0,G126&gt;E126*F126)),"Check sale amounts","OK")))</x:f>
      </x:c>
      <x:c r="K126" s="38" t="str">
        <x:f>IF(J126="","",IF(J126&lt;&gt;"OK","Fix row",IF(C126="Sale",E126*F126-G126,0)))</x:f>
      </x:c>
      <x:c r="L126" s="38" t="str">
        <x:f>IF(J126="","",IF(J126&lt;&gt;"OK","Fix row",IF(C126="Sale",K126-E126*H126,0)))</x:f>
      </x:c>
    </x:row>
    <x:row r="127" ht="27" customHeight="1">
      <x:c r="A127" s="40"/>
      <x:c r="B127" s="41"/>
      <x:c r="C127" s="41"/>
      <x:c r="D127" s="41"/>
      <x:c r="E127" s="41"/>
      <x:c r="F127" s="42"/>
      <x:c r="G127" s="42"/>
      <x:c r="H127" s="42"/>
      <x:c r="I127" s="41"/>
      <x:c r="J127" s="34" t="str">
        <x:f>IF(COUNTA(A127:I127)=0,"",IF(OR(NOT(ISNUMBER(A127)),B127="",AND(C127&lt;&gt;"Sale",C127&lt;&gt;"Purchase",C127&lt;&gt;"Adjustment"),COUNTIFS(Products!$A$6:$A$105,D127)&lt;&gt;1,NOT(ISNUMBER(E127)),E127=0,AND(C127&lt;&gt;"Adjustment",E127&lt;0)),"Check inputs",IF(AND(C127="Sale",OR(NOT(ISNUMBER(F127)),NOT(ISNUMBER(G127)),NOT(ISNUMBER(H127)),F127&lt;0,G127&lt;0,H127&lt;0,G127&gt;E127*F127)),"Check sale amounts","OK")))</x:f>
      </x:c>
      <x:c r="K127" s="35" t="str">
        <x:f>IF(J127="","",IF(J127&lt;&gt;"OK","Fix row",IF(C127="Sale",E127*F127-G127,0)))</x:f>
      </x:c>
      <x:c r="L127" s="35" t="str">
        <x:f>IF(J127="","",IF(J127&lt;&gt;"OK","Fix row",IF(C127="Sale",K127-E127*H127,0)))</x:f>
      </x:c>
    </x:row>
    <x:row r="128" ht="27" customHeight="1">
      <x:c r="A128" s="40"/>
      <x:c r="B128" s="41"/>
      <x:c r="C128" s="41"/>
      <x:c r="D128" s="41"/>
      <x:c r="E128" s="41"/>
      <x:c r="F128" s="42"/>
      <x:c r="G128" s="42"/>
      <x:c r="H128" s="42"/>
      <x:c r="I128" s="41"/>
      <x:c r="J128" s="37" t="str">
        <x:f>IF(COUNTA(A128:I128)=0,"",IF(OR(NOT(ISNUMBER(A128)),B128="",AND(C128&lt;&gt;"Sale",C128&lt;&gt;"Purchase",C128&lt;&gt;"Adjustment"),COUNTIFS(Products!$A$6:$A$105,D128)&lt;&gt;1,NOT(ISNUMBER(E128)),E128=0,AND(C128&lt;&gt;"Adjustment",E128&lt;0)),"Check inputs",IF(AND(C128="Sale",OR(NOT(ISNUMBER(F128)),NOT(ISNUMBER(G128)),NOT(ISNUMBER(H128)),F128&lt;0,G128&lt;0,H128&lt;0,G128&gt;E128*F128)),"Check sale amounts","OK")))</x:f>
      </x:c>
      <x:c r="K128" s="38" t="str">
        <x:f>IF(J128="","",IF(J128&lt;&gt;"OK","Fix row",IF(C128="Sale",E128*F128-G128,0)))</x:f>
      </x:c>
      <x:c r="L128" s="38" t="str">
        <x:f>IF(J128="","",IF(J128&lt;&gt;"OK","Fix row",IF(C128="Sale",K128-E128*H128,0)))</x:f>
      </x:c>
    </x:row>
    <x:row r="129" ht="27" customHeight="1">
      <x:c r="A129" s="40"/>
      <x:c r="B129" s="41"/>
      <x:c r="C129" s="41"/>
      <x:c r="D129" s="41"/>
      <x:c r="E129" s="41"/>
      <x:c r="F129" s="42"/>
      <x:c r="G129" s="42"/>
      <x:c r="H129" s="42"/>
      <x:c r="I129" s="41"/>
      <x:c r="J129" s="34" t="str">
        <x:f>IF(COUNTA(A129:I129)=0,"",IF(OR(NOT(ISNUMBER(A129)),B129="",AND(C129&lt;&gt;"Sale",C129&lt;&gt;"Purchase",C129&lt;&gt;"Adjustment"),COUNTIFS(Products!$A$6:$A$105,D129)&lt;&gt;1,NOT(ISNUMBER(E129)),E129=0,AND(C129&lt;&gt;"Adjustment",E129&lt;0)),"Check inputs",IF(AND(C129="Sale",OR(NOT(ISNUMBER(F129)),NOT(ISNUMBER(G129)),NOT(ISNUMBER(H129)),F129&lt;0,G129&lt;0,H129&lt;0,G129&gt;E129*F129)),"Check sale amounts","OK")))</x:f>
      </x:c>
      <x:c r="K129" s="35" t="str">
        <x:f>IF(J129="","",IF(J129&lt;&gt;"OK","Fix row",IF(C129="Sale",E129*F129-G129,0)))</x:f>
      </x:c>
      <x:c r="L129" s="35" t="str">
        <x:f>IF(J129="","",IF(J129&lt;&gt;"OK","Fix row",IF(C129="Sale",K129-E129*H129,0)))</x:f>
      </x:c>
    </x:row>
    <x:row r="130" ht="27" customHeight="1">
      <x:c r="A130" s="40"/>
      <x:c r="B130" s="41"/>
      <x:c r="C130" s="41"/>
      <x:c r="D130" s="41"/>
      <x:c r="E130" s="41"/>
      <x:c r="F130" s="42"/>
      <x:c r="G130" s="42"/>
      <x:c r="H130" s="42"/>
      <x:c r="I130" s="41"/>
      <x:c r="J130" s="37" t="str">
        <x:f>IF(COUNTA(A130:I130)=0,"",IF(OR(NOT(ISNUMBER(A130)),B130="",AND(C130&lt;&gt;"Sale",C130&lt;&gt;"Purchase",C130&lt;&gt;"Adjustment"),COUNTIFS(Products!$A$6:$A$105,D130)&lt;&gt;1,NOT(ISNUMBER(E130)),E130=0,AND(C130&lt;&gt;"Adjustment",E130&lt;0)),"Check inputs",IF(AND(C130="Sale",OR(NOT(ISNUMBER(F130)),NOT(ISNUMBER(G130)),NOT(ISNUMBER(H130)),F130&lt;0,G130&lt;0,H130&lt;0,G130&gt;E130*F130)),"Check sale amounts","OK")))</x:f>
      </x:c>
      <x:c r="K130" s="38" t="str">
        <x:f>IF(J130="","",IF(J130&lt;&gt;"OK","Fix row",IF(C130="Sale",E130*F130-G130,0)))</x:f>
      </x:c>
      <x:c r="L130" s="38" t="str">
        <x:f>IF(J130="","",IF(J130&lt;&gt;"OK","Fix row",IF(C130="Sale",K130-E130*H130,0)))</x:f>
      </x:c>
    </x:row>
    <x:row r="131" ht="27" customHeight="1">
      <x:c r="A131" s="40"/>
      <x:c r="B131" s="41"/>
      <x:c r="C131" s="41"/>
      <x:c r="D131" s="41"/>
      <x:c r="E131" s="41"/>
      <x:c r="F131" s="42"/>
      <x:c r="G131" s="42"/>
      <x:c r="H131" s="42"/>
      <x:c r="I131" s="41"/>
      <x:c r="J131" s="34" t="str">
        <x:f>IF(COUNTA(A131:I131)=0,"",IF(OR(NOT(ISNUMBER(A131)),B131="",AND(C131&lt;&gt;"Sale",C131&lt;&gt;"Purchase",C131&lt;&gt;"Adjustment"),COUNTIFS(Products!$A$6:$A$105,D131)&lt;&gt;1,NOT(ISNUMBER(E131)),E131=0,AND(C131&lt;&gt;"Adjustment",E131&lt;0)),"Check inputs",IF(AND(C131="Sale",OR(NOT(ISNUMBER(F131)),NOT(ISNUMBER(G131)),NOT(ISNUMBER(H131)),F131&lt;0,G131&lt;0,H131&lt;0,G131&gt;E131*F131)),"Check sale amounts","OK")))</x:f>
      </x:c>
      <x:c r="K131" s="35" t="str">
        <x:f>IF(J131="","",IF(J131&lt;&gt;"OK","Fix row",IF(C131="Sale",E131*F131-G131,0)))</x:f>
      </x:c>
      <x:c r="L131" s="35" t="str">
        <x:f>IF(J131="","",IF(J131&lt;&gt;"OK","Fix row",IF(C131="Sale",K131-E131*H131,0)))</x:f>
      </x:c>
    </x:row>
    <x:row r="132" ht="27" customHeight="1">
      <x:c r="A132" s="40"/>
      <x:c r="B132" s="41"/>
      <x:c r="C132" s="41"/>
      <x:c r="D132" s="41"/>
      <x:c r="E132" s="41"/>
      <x:c r="F132" s="42"/>
      <x:c r="G132" s="42"/>
      <x:c r="H132" s="42"/>
      <x:c r="I132" s="41"/>
      <x:c r="J132" s="37" t="str">
        <x:f>IF(COUNTA(A132:I132)=0,"",IF(OR(NOT(ISNUMBER(A132)),B132="",AND(C132&lt;&gt;"Sale",C132&lt;&gt;"Purchase",C132&lt;&gt;"Adjustment"),COUNTIFS(Products!$A$6:$A$105,D132)&lt;&gt;1,NOT(ISNUMBER(E132)),E132=0,AND(C132&lt;&gt;"Adjustment",E132&lt;0)),"Check inputs",IF(AND(C132="Sale",OR(NOT(ISNUMBER(F132)),NOT(ISNUMBER(G132)),NOT(ISNUMBER(H132)),F132&lt;0,G132&lt;0,H132&lt;0,G132&gt;E132*F132)),"Check sale amounts","OK")))</x:f>
      </x:c>
      <x:c r="K132" s="38" t="str">
        <x:f>IF(J132="","",IF(J132&lt;&gt;"OK","Fix row",IF(C132="Sale",E132*F132-G132,0)))</x:f>
      </x:c>
      <x:c r="L132" s="38" t="str">
        <x:f>IF(J132="","",IF(J132&lt;&gt;"OK","Fix row",IF(C132="Sale",K132-E132*H132,0)))</x:f>
      </x:c>
    </x:row>
    <x:row r="133" ht="27" customHeight="1">
      <x:c r="A133" s="40"/>
      <x:c r="B133" s="41"/>
      <x:c r="C133" s="41"/>
      <x:c r="D133" s="41"/>
      <x:c r="E133" s="41"/>
      <x:c r="F133" s="42"/>
      <x:c r="G133" s="42"/>
      <x:c r="H133" s="42"/>
      <x:c r="I133" s="41"/>
      <x:c r="J133" s="34" t="str">
        <x:f>IF(COUNTA(A133:I133)=0,"",IF(OR(NOT(ISNUMBER(A133)),B133="",AND(C133&lt;&gt;"Sale",C133&lt;&gt;"Purchase",C133&lt;&gt;"Adjustment"),COUNTIFS(Products!$A$6:$A$105,D133)&lt;&gt;1,NOT(ISNUMBER(E133)),E133=0,AND(C133&lt;&gt;"Adjustment",E133&lt;0)),"Check inputs",IF(AND(C133="Sale",OR(NOT(ISNUMBER(F133)),NOT(ISNUMBER(G133)),NOT(ISNUMBER(H133)),F133&lt;0,G133&lt;0,H133&lt;0,G133&gt;E133*F133)),"Check sale amounts","OK")))</x:f>
      </x:c>
      <x:c r="K133" s="35" t="str">
        <x:f>IF(J133="","",IF(J133&lt;&gt;"OK","Fix row",IF(C133="Sale",E133*F133-G133,0)))</x:f>
      </x:c>
      <x:c r="L133" s="35" t="str">
        <x:f>IF(J133="","",IF(J133&lt;&gt;"OK","Fix row",IF(C133="Sale",K133-E133*H133,0)))</x:f>
      </x:c>
    </x:row>
    <x:row r="134" ht="27" customHeight="1">
      <x:c r="A134" s="40"/>
      <x:c r="B134" s="41"/>
      <x:c r="C134" s="41"/>
      <x:c r="D134" s="41"/>
      <x:c r="E134" s="41"/>
      <x:c r="F134" s="42"/>
      <x:c r="G134" s="42"/>
      <x:c r="H134" s="42"/>
      <x:c r="I134" s="41"/>
      <x:c r="J134" s="37" t="str">
        <x:f>IF(COUNTA(A134:I134)=0,"",IF(OR(NOT(ISNUMBER(A134)),B134="",AND(C134&lt;&gt;"Sale",C134&lt;&gt;"Purchase",C134&lt;&gt;"Adjustment"),COUNTIFS(Products!$A$6:$A$105,D134)&lt;&gt;1,NOT(ISNUMBER(E134)),E134=0,AND(C134&lt;&gt;"Adjustment",E134&lt;0)),"Check inputs",IF(AND(C134="Sale",OR(NOT(ISNUMBER(F134)),NOT(ISNUMBER(G134)),NOT(ISNUMBER(H134)),F134&lt;0,G134&lt;0,H134&lt;0,G134&gt;E134*F134)),"Check sale amounts","OK")))</x:f>
      </x:c>
      <x:c r="K134" s="38" t="str">
        <x:f>IF(J134="","",IF(J134&lt;&gt;"OK","Fix row",IF(C134="Sale",E134*F134-G134,0)))</x:f>
      </x:c>
      <x:c r="L134" s="38" t="str">
        <x:f>IF(J134="","",IF(J134&lt;&gt;"OK","Fix row",IF(C134="Sale",K134-E134*H134,0)))</x:f>
      </x:c>
    </x:row>
    <x:row r="135" ht="27" customHeight="1">
      <x:c r="A135" s="40"/>
      <x:c r="B135" s="41"/>
      <x:c r="C135" s="41"/>
      <x:c r="D135" s="41"/>
      <x:c r="E135" s="41"/>
      <x:c r="F135" s="42"/>
      <x:c r="G135" s="42"/>
      <x:c r="H135" s="42"/>
      <x:c r="I135" s="41"/>
      <x:c r="J135" s="34" t="str">
        <x:f>IF(COUNTA(A135:I135)=0,"",IF(OR(NOT(ISNUMBER(A135)),B135="",AND(C135&lt;&gt;"Sale",C135&lt;&gt;"Purchase",C135&lt;&gt;"Adjustment"),COUNTIFS(Products!$A$6:$A$105,D135)&lt;&gt;1,NOT(ISNUMBER(E135)),E135=0,AND(C135&lt;&gt;"Adjustment",E135&lt;0)),"Check inputs",IF(AND(C135="Sale",OR(NOT(ISNUMBER(F135)),NOT(ISNUMBER(G135)),NOT(ISNUMBER(H135)),F135&lt;0,G135&lt;0,H135&lt;0,G135&gt;E135*F135)),"Check sale amounts","OK")))</x:f>
      </x:c>
      <x:c r="K135" s="35" t="str">
        <x:f>IF(J135="","",IF(J135&lt;&gt;"OK","Fix row",IF(C135="Sale",E135*F135-G135,0)))</x:f>
      </x:c>
      <x:c r="L135" s="35" t="str">
        <x:f>IF(J135="","",IF(J135&lt;&gt;"OK","Fix row",IF(C135="Sale",K135-E135*H135,0)))</x:f>
      </x:c>
    </x:row>
    <x:row r="136" ht="27" customHeight="1">
      <x:c r="A136" s="40"/>
      <x:c r="B136" s="41"/>
      <x:c r="C136" s="41"/>
      <x:c r="D136" s="41"/>
      <x:c r="E136" s="41"/>
      <x:c r="F136" s="42"/>
      <x:c r="G136" s="42"/>
      <x:c r="H136" s="42"/>
      <x:c r="I136" s="41"/>
      <x:c r="J136" s="37" t="str">
        <x:f>IF(COUNTA(A136:I136)=0,"",IF(OR(NOT(ISNUMBER(A136)),B136="",AND(C136&lt;&gt;"Sale",C136&lt;&gt;"Purchase",C136&lt;&gt;"Adjustment"),COUNTIFS(Products!$A$6:$A$105,D136)&lt;&gt;1,NOT(ISNUMBER(E136)),E136=0,AND(C136&lt;&gt;"Adjustment",E136&lt;0)),"Check inputs",IF(AND(C136="Sale",OR(NOT(ISNUMBER(F136)),NOT(ISNUMBER(G136)),NOT(ISNUMBER(H136)),F136&lt;0,G136&lt;0,H136&lt;0,G136&gt;E136*F136)),"Check sale amounts","OK")))</x:f>
      </x:c>
      <x:c r="K136" s="38" t="str">
        <x:f>IF(J136="","",IF(J136&lt;&gt;"OK","Fix row",IF(C136="Sale",E136*F136-G136,0)))</x:f>
      </x:c>
      <x:c r="L136" s="38" t="str">
        <x:f>IF(J136="","",IF(J136&lt;&gt;"OK","Fix row",IF(C136="Sale",K136-E136*H136,0)))</x:f>
      </x:c>
    </x:row>
    <x:row r="137" ht="27" customHeight="1">
      <x:c r="A137" s="40"/>
      <x:c r="B137" s="41"/>
      <x:c r="C137" s="41"/>
      <x:c r="D137" s="41"/>
      <x:c r="E137" s="41"/>
      <x:c r="F137" s="42"/>
      <x:c r="G137" s="42"/>
      <x:c r="H137" s="42"/>
      <x:c r="I137" s="41"/>
      <x:c r="J137" s="34" t="str">
        <x:f>IF(COUNTA(A137:I137)=0,"",IF(OR(NOT(ISNUMBER(A137)),B137="",AND(C137&lt;&gt;"Sale",C137&lt;&gt;"Purchase",C137&lt;&gt;"Adjustment"),COUNTIFS(Products!$A$6:$A$105,D137)&lt;&gt;1,NOT(ISNUMBER(E137)),E137=0,AND(C137&lt;&gt;"Adjustment",E137&lt;0)),"Check inputs",IF(AND(C137="Sale",OR(NOT(ISNUMBER(F137)),NOT(ISNUMBER(G137)),NOT(ISNUMBER(H137)),F137&lt;0,G137&lt;0,H137&lt;0,G137&gt;E137*F137)),"Check sale amounts","OK")))</x:f>
      </x:c>
      <x:c r="K137" s="35" t="str">
        <x:f>IF(J137="","",IF(J137&lt;&gt;"OK","Fix row",IF(C137="Sale",E137*F137-G137,0)))</x:f>
      </x:c>
      <x:c r="L137" s="35" t="str">
        <x:f>IF(J137="","",IF(J137&lt;&gt;"OK","Fix row",IF(C137="Sale",K137-E137*H137,0)))</x:f>
      </x:c>
    </x:row>
    <x:row r="138" ht="27" customHeight="1">
      <x:c r="A138" s="40"/>
      <x:c r="B138" s="41"/>
      <x:c r="C138" s="41"/>
      <x:c r="D138" s="41"/>
      <x:c r="E138" s="41"/>
      <x:c r="F138" s="42"/>
      <x:c r="G138" s="42"/>
      <x:c r="H138" s="42"/>
      <x:c r="I138" s="41"/>
      <x:c r="J138" s="37" t="str">
        <x:f>IF(COUNTA(A138:I138)=0,"",IF(OR(NOT(ISNUMBER(A138)),B138="",AND(C138&lt;&gt;"Sale",C138&lt;&gt;"Purchase",C138&lt;&gt;"Adjustment"),COUNTIFS(Products!$A$6:$A$105,D138)&lt;&gt;1,NOT(ISNUMBER(E138)),E138=0,AND(C138&lt;&gt;"Adjustment",E138&lt;0)),"Check inputs",IF(AND(C138="Sale",OR(NOT(ISNUMBER(F138)),NOT(ISNUMBER(G138)),NOT(ISNUMBER(H138)),F138&lt;0,G138&lt;0,H138&lt;0,G138&gt;E138*F138)),"Check sale amounts","OK")))</x:f>
      </x:c>
      <x:c r="K138" s="38" t="str">
        <x:f>IF(J138="","",IF(J138&lt;&gt;"OK","Fix row",IF(C138="Sale",E138*F138-G138,0)))</x:f>
      </x:c>
      <x:c r="L138" s="38" t="str">
        <x:f>IF(J138="","",IF(J138&lt;&gt;"OK","Fix row",IF(C138="Sale",K138-E138*H138,0)))</x:f>
      </x:c>
    </x:row>
    <x:row r="139" ht="27" customHeight="1">
      <x:c r="A139" s="40"/>
      <x:c r="B139" s="41"/>
      <x:c r="C139" s="41"/>
      <x:c r="D139" s="41"/>
      <x:c r="E139" s="41"/>
      <x:c r="F139" s="42"/>
      <x:c r="G139" s="42"/>
      <x:c r="H139" s="42"/>
      <x:c r="I139" s="41"/>
      <x:c r="J139" s="34" t="str">
        <x:f>IF(COUNTA(A139:I139)=0,"",IF(OR(NOT(ISNUMBER(A139)),B139="",AND(C139&lt;&gt;"Sale",C139&lt;&gt;"Purchase",C139&lt;&gt;"Adjustment"),COUNTIFS(Products!$A$6:$A$105,D139)&lt;&gt;1,NOT(ISNUMBER(E139)),E139=0,AND(C139&lt;&gt;"Adjustment",E139&lt;0)),"Check inputs",IF(AND(C139="Sale",OR(NOT(ISNUMBER(F139)),NOT(ISNUMBER(G139)),NOT(ISNUMBER(H139)),F139&lt;0,G139&lt;0,H139&lt;0,G139&gt;E139*F139)),"Check sale amounts","OK")))</x:f>
      </x:c>
      <x:c r="K139" s="35" t="str">
        <x:f>IF(J139="","",IF(J139&lt;&gt;"OK","Fix row",IF(C139="Sale",E139*F139-G139,0)))</x:f>
      </x:c>
      <x:c r="L139" s="35" t="str">
        <x:f>IF(J139="","",IF(J139&lt;&gt;"OK","Fix row",IF(C139="Sale",K139-E139*H139,0)))</x:f>
      </x:c>
    </x:row>
    <x:row r="140" ht="27" customHeight="1">
      <x:c r="A140" s="40"/>
      <x:c r="B140" s="41"/>
      <x:c r="C140" s="41"/>
      <x:c r="D140" s="41"/>
      <x:c r="E140" s="41"/>
      <x:c r="F140" s="42"/>
      <x:c r="G140" s="42"/>
      <x:c r="H140" s="42"/>
      <x:c r="I140" s="41"/>
      <x:c r="J140" s="37" t="str">
        <x:f>IF(COUNTA(A140:I140)=0,"",IF(OR(NOT(ISNUMBER(A140)),B140="",AND(C140&lt;&gt;"Sale",C140&lt;&gt;"Purchase",C140&lt;&gt;"Adjustment"),COUNTIFS(Products!$A$6:$A$105,D140)&lt;&gt;1,NOT(ISNUMBER(E140)),E140=0,AND(C140&lt;&gt;"Adjustment",E140&lt;0)),"Check inputs",IF(AND(C140="Sale",OR(NOT(ISNUMBER(F140)),NOT(ISNUMBER(G140)),NOT(ISNUMBER(H140)),F140&lt;0,G140&lt;0,H140&lt;0,G140&gt;E140*F140)),"Check sale amounts","OK")))</x:f>
      </x:c>
      <x:c r="K140" s="38" t="str">
        <x:f>IF(J140="","",IF(J140&lt;&gt;"OK","Fix row",IF(C140="Sale",E140*F140-G140,0)))</x:f>
      </x:c>
      <x:c r="L140" s="38" t="str">
        <x:f>IF(J140="","",IF(J140&lt;&gt;"OK","Fix row",IF(C140="Sale",K140-E140*H140,0)))</x:f>
      </x:c>
    </x:row>
    <x:row r="141" ht="27" customHeight="1">
      <x:c r="A141" s="40"/>
      <x:c r="B141" s="41"/>
      <x:c r="C141" s="41"/>
      <x:c r="D141" s="41"/>
      <x:c r="E141" s="41"/>
      <x:c r="F141" s="42"/>
      <x:c r="G141" s="42"/>
      <x:c r="H141" s="42"/>
      <x:c r="I141" s="41"/>
      <x:c r="J141" s="34" t="str">
        <x:f>IF(COUNTA(A141:I141)=0,"",IF(OR(NOT(ISNUMBER(A141)),B141="",AND(C141&lt;&gt;"Sale",C141&lt;&gt;"Purchase",C141&lt;&gt;"Adjustment"),COUNTIFS(Products!$A$6:$A$105,D141)&lt;&gt;1,NOT(ISNUMBER(E141)),E141=0,AND(C141&lt;&gt;"Adjustment",E141&lt;0)),"Check inputs",IF(AND(C141="Sale",OR(NOT(ISNUMBER(F141)),NOT(ISNUMBER(G141)),NOT(ISNUMBER(H141)),F141&lt;0,G141&lt;0,H141&lt;0,G141&gt;E141*F141)),"Check sale amounts","OK")))</x:f>
      </x:c>
      <x:c r="K141" s="35" t="str">
        <x:f>IF(J141="","",IF(J141&lt;&gt;"OK","Fix row",IF(C141="Sale",E141*F141-G141,0)))</x:f>
      </x:c>
      <x:c r="L141" s="35" t="str">
        <x:f>IF(J141="","",IF(J141&lt;&gt;"OK","Fix row",IF(C141="Sale",K141-E141*H141,0)))</x:f>
      </x:c>
    </x:row>
    <x:row r="142" ht="27" customHeight="1">
      <x:c r="A142" s="40"/>
      <x:c r="B142" s="41"/>
      <x:c r="C142" s="41"/>
      <x:c r="D142" s="41"/>
      <x:c r="E142" s="41"/>
      <x:c r="F142" s="42"/>
      <x:c r="G142" s="42"/>
      <x:c r="H142" s="42"/>
      <x:c r="I142" s="41"/>
      <x:c r="J142" s="37" t="str">
        <x:f>IF(COUNTA(A142:I142)=0,"",IF(OR(NOT(ISNUMBER(A142)),B142="",AND(C142&lt;&gt;"Sale",C142&lt;&gt;"Purchase",C142&lt;&gt;"Adjustment"),COUNTIFS(Products!$A$6:$A$105,D142)&lt;&gt;1,NOT(ISNUMBER(E142)),E142=0,AND(C142&lt;&gt;"Adjustment",E142&lt;0)),"Check inputs",IF(AND(C142="Sale",OR(NOT(ISNUMBER(F142)),NOT(ISNUMBER(G142)),NOT(ISNUMBER(H142)),F142&lt;0,G142&lt;0,H142&lt;0,G142&gt;E142*F142)),"Check sale amounts","OK")))</x:f>
      </x:c>
      <x:c r="K142" s="38" t="str">
        <x:f>IF(J142="","",IF(J142&lt;&gt;"OK","Fix row",IF(C142="Sale",E142*F142-G142,0)))</x:f>
      </x:c>
      <x:c r="L142" s="38" t="str">
        <x:f>IF(J142="","",IF(J142&lt;&gt;"OK","Fix row",IF(C142="Sale",K142-E142*H142,0)))</x:f>
      </x:c>
    </x:row>
    <x:row r="143" ht="27" customHeight="1">
      <x:c r="A143" s="40"/>
      <x:c r="B143" s="41"/>
      <x:c r="C143" s="41"/>
      <x:c r="D143" s="41"/>
      <x:c r="E143" s="41"/>
      <x:c r="F143" s="42"/>
      <x:c r="G143" s="42"/>
      <x:c r="H143" s="42"/>
      <x:c r="I143" s="41"/>
      <x:c r="J143" s="34" t="str">
        <x:f>IF(COUNTA(A143:I143)=0,"",IF(OR(NOT(ISNUMBER(A143)),B143="",AND(C143&lt;&gt;"Sale",C143&lt;&gt;"Purchase",C143&lt;&gt;"Adjustment"),COUNTIFS(Products!$A$6:$A$105,D143)&lt;&gt;1,NOT(ISNUMBER(E143)),E143=0,AND(C143&lt;&gt;"Adjustment",E143&lt;0)),"Check inputs",IF(AND(C143="Sale",OR(NOT(ISNUMBER(F143)),NOT(ISNUMBER(G143)),NOT(ISNUMBER(H143)),F143&lt;0,G143&lt;0,H143&lt;0,G143&gt;E143*F143)),"Check sale amounts","OK")))</x:f>
      </x:c>
      <x:c r="K143" s="35" t="str">
        <x:f>IF(J143="","",IF(J143&lt;&gt;"OK","Fix row",IF(C143="Sale",E143*F143-G143,0)))</x:f>
      </x:c>
      <x:c r="L143" s="35" t="str">
        <x:f>IF(J143="","",IF(J143&lt;&gt;"OK","Fix row",IF(C143="Sale",K143-E143*H143,0)))</x:f>
      </x:c>
    </x:row>
    <x:row r="144" ht="27" customHeight="1">
      <x:c r="A144" s="40"/>
      <x:c r="B144" s="41"/>
      <x:c r="C144" s="41"/>
      <x:c r="D144" s="41"/>
      <x:c r="E144" s="41"/>
      <x:c r="F144" s="42"/>
      <x:c r="G144" s="42"/>
      <x:c r="H144" s="42"/>
      <x:c r="I144" s="41"/>
      <x:c r="J144" s="37" t="str">
        <x:f>IF(COUNTA(A144:I144)=0,"",IF(OR(NOT(ISNUMBER(A144)),B144="",AND(C144&lt;&gt;"Sale",C144&lt;&gt;"Purchase",C144&lt;&gt;"Adjustment"),COUNTIFS(Products!$A$6:$A$105,D144)&lt;&gt;1,NOT(ISNUMBER(E144)),E144=0,AND(C144&lt;&gt;"Adjustment",E144&lt;0)),"Check inputs",IF(AND(C144="Sale",OR(NOT(ISNUMBER(F144)),NOT(ISNUMBER(G144)),NOT(ISNUMBER(H144)),F144&lt;0,G144&lt;0,H144&lt;0,G144&gt;E144*F144)),"Check sale amounts","OK")))</x:f>
      </x:c>
      <x:c r="K144" s="38" t="str">
        <x:f>IF(J144="","",IF(J144&lt;&gt;"OK","Fix row",IF(C144="Sale",E144*F144-G144,0)))</x:f>
      </x:c>
      <x:c r="L144" s="38" t="str">
        <x:f>IF(J144="","",IF(J144&lt;&gt;"OK","Fix row",IF(C144="Sale",K144-E144*H144,0)))</x:f>
      </x:c>
    </x:row>
    <x:row r="145" ht="27" customHeight="1">
      <x:c r="A145" s="40"/>
      <x:c r="B145" s="41"/>
      <x:c r="C145" s="41"/>
      <x:c r="D145" s="41"/>
      <x:c r="E145" s="41"/>
      <x:c r="F145" s="42"/>
      <x:c r="G145" s="42"/>
      <x:c r="H145" s="42"/>
      <x:c r="I145" s="41"/>
      <x:c r="J145" s="34" t="str">
        <x:f>IF(COUNTA(A145:I145)=0,"",IF(OR(NOT(ISNUMBER(A145)),B145="",AND(C145&lt;&gt;"Sale",C145&lt;&gt;"Purchase",C145&lt;&gt;"Adjustment"),COUNTIFS(Products!$A$6:$A$105,D145)&lt;&gt;1,NOT(ISNUMBER(E145)),E145=0,AND(C145&lt;&gt;"Adjustment",E145&lt;0)),"Check inputs",IF(AND(C145="Sale",OR(NOT(ISNUMBER(F145)),NOT(ISNUMBER(G145)),NOT(ISNUMBER(H145)),F145&lt;0,G145&lt;0,H145&lt;0,G145&gt;E145*F145)),"Check sale amounts","OK")))</x:f>
      </x:c>
      <x:c r="K145" s="35" t="str">
        <x:f>IF(J145="","",IF(J145&lt;&gt;"OK","Fix row",IF(C145="Sale",E145*F145-G145,0)))</x:f>
      </x:c>
      <x:c r="L145" s="35" t="str">
        <x:f>IF(J145="","",IF(J145&lt;&gt;"OK","Fix row",IF(C145="Sale",K145-E145*H145,0)))</x:f>
      </x:c>
    </x:row>
    <x:row r="146" ht="27" customHeight="1">
      <x:c r="A146" s="40"/>
      <x:c r="B146" s="41"/>
      <x:c r="C146" s="41"/>
      <x:c r="D146" s="41"/>
      <x:c r="E146" s="41"/>
      <x:c r="F146" s="42"/>
      <x:c r="G146" s="42"/>
      <x:c r="H146" s="42"/>
      <x:c r="I146" s="41"/>
      <x:c r="J146" s="37" t="str">
        <x:f>IF(COUNTA(A146:I146)=0,"",IF(OR(NOT(ISNUMBER(A146)),B146="",AND(C146&lt;&gt;"Sale",C146&lt;&gt;"Purchase",C146&lt;&gt;"Adjustment"),COUNTIFS(Products!$A$6:$A$105,D146)&lt;&gt;1,NOT(ISNUMBER(E146)),E146=0,AND(C146&lt;&gt;"Adjustment",E146&lt;0)),"Check inputs",IF(AND(C146="Sale",OR(NOT(ISNUMBER(F146)),NOT(ISNUMBER(G146)),NOT(ISNUMBER(H146)),F146&lt;0,G146&lt;0,H146&lt;0,G146&gt;E146*F146)),"Check sale amounts","OK")))</x:f>
      </x:c>
      <x:c r="K146" s="38" t="str">
        <x:f>IF(J146="","",IF(J146&lt;&gt;"OK","Fix row",IF(C146="Sale",E146*F146-G146,0)))</x:f>
      </x:c>
      <x:c r="L146" s="38" t="str">
        <x:f>IF(J146="","",IF(J146&lt;&gt;"OK","Fix row",IF(C146="Sale",K146-E146*H146,0)))</x:f>
      </x:c>
    </x:row>
    <x:row r="147" ht="27" customHeight="1">
      <x:c r="A147" s="40"/>
      <x:c r="B147" s="41"/>
      <x:c r="C147" s="41"/>
      <x:c r="D147" s="41"/>
      <x:c r="E147" s="41"/>
      <x:c r="F147" s="42"/>
      <x:c r="G147" s="42"/>
      <x:c r="H147" s="42"/>
      <x:c r="I147" s="41"/>
      <x:c r="J147" s="34" t="str">
        <x:f>IF(COUNTA(A147:I147)=0,"",IF(OR(NOT(ISNUMBER(A147)),B147="",AND(C147&lt;&gt;"Sale",C147&lt;&gt;"Purchase",C147&lt;&gt;"Adjustment"),COUNTIFS(Products!$A$6:$A$105,D147)&lt;&gt;1,NOT(ISNUMBER(E147)),E147=0,AND(C147&lt;&gt;"Adjustment",E147&lt;0)),"Check inputs",IF(AND(C147="Sale",OR(NOT(ISNUMBER(F147)),NOT(ISNUMBER(G147)),NOT(ISNUMBER(H147)),F147&lt;0,G147&lt;0,H147&lt;0,G147&gt;E147*F147)),"Check sale amounts","OK")))</x:f>
      </x:c>
      <x:c r="K147" s="35" t="str">
        <x:f>IF(J147="","",IF(J147&lt;&gt;"OK","Fix row",IF(C147="Sale",E147*F147-G147,0)))</x:f>
      </x:c>
      <x:c r="L147" s="35" t="str">
        <x:f>IF(J147="","",IF(J147&lt;&gt;"OK","Fix row",IF(C147="Sale",K147-E147*H147,0)))</x:f>
      </x:c>
    </x:row>
    <x:row r="148" ht="27" customHeight="1">
      <x:c r="A148" s="40"/>
      <x:c r="B148" s="41"/>
      <x:c r="C148" s="41"/>
      <x:c r="D148" s="41"/>
      <x:c r="E148" s="41"/>
      <x:c r="F148" s="42"/>
      <x:c r="G148" s="42"/>
      <x:c r="H148" s="42"/>
      <x:c r="I148" s="41"/>
      <x:c r="J148" s="37" t="str">
        <x:f>IF(COUNTA(A148:I148)=0,"",IF(OR(NOT(ISNUMBER(A148)),B148="",AND(C148&lt;&gt;"Sale",C148&lt;&gt;"Purchase",C148&lt;&gt;"Adjustment"),COUNTIFS(Products!$A$6:$A$105,D148)&lt;&gt;1,NOT(ISNUMBER(E148)),E148=0,AND(C148&lt;&gt;"Adjustment",E148&lt;0)),"Check inputs",IF(AND(C148="Sale",OR(NOT(ISNUMBER(F148)),NOT(ISNUMBER(G148)),NOT(ISNUMBER(H148)),F148&lt;0,G148&lt;0,H148&lt;0,G148&gt;E148*F148)),"Check sale amounts","OK")))</x:f>
      </x:c>
      <x:c r="K148" s="38" t="str">
        <x:f>IF(J148="","",IF(J148&lt;&gt;"OK","Fix row",IF(C148="Sale",E148*F148-G148,0)))</x:f>
      </x:c>
      <x:c r="L148" s="38" t="str">
        <x:f>IF(J148="","",IF(J148&lt;&gt;"OK","Fix row",IF(C148="Sale",K148-E148*H148,0)))</x:f>
      </x:c>
    </x:row>
    <x:row r="149" ht="27" customHeight="1">
      <x:c r="A149" s="40"/>
      <x:c r="B149" s="41"/>
      <x:c r="C149" s="41"/>
      <x:c r="D149" s="41"/>
      <x:c r="E149" s="41"/>
      <x:c r="F149" s="42"/>
      <x:c r="G149" s="42"/>
      <x:c r="H149" s="42"/>
      <x:c r="I149" s="41"/>
      <x:c r="J149" s="34" t="str">
        <x:f>IF(COUNTA(A149:I149)=0,"",IF(OR(NOT(ISNUMBER(A149)),B149="",AND(C149&lt;&gt;"Sale",C149&lt;&gt;"Purchase",C149&lt;&gt;"Adjustment"),COUNTIFS(Products!$A$6:$A$105,D149)&lt;&gt;1,NOT(ISNUMBER(E149)),E149=0,AND(C149&lt;&gt;"Adjustment",E149&lt;0)),"Check inputs",IF(AND(C149="Sale",OR(NOT(ISNUMBER(F149)),NOT(ISNUMBER(G149)),NOT(ISNUMBER(H149)),F149&lt;0,G149&lt;0,H149&lt;0,G149&gt;E149*F149)),"Check sale amounts","OK")))</x:f>
      </x:c>
      <x:c r="K149" s="35" t="str">
        <x:f>IF(J149="","",IF(J149&lt;&gt;"OK","Fix row",IF(C149="Sale",E149*F149-G149,0)))</x:f>
      </x:c>
      <x:c r="L149" s="35" t="str">
        <x:f>IF(J149="","",IF(J149&lt;&gt;"OK","Fix row",IF(C149="Sale",K149-E149*H149,0)))</x:f>
      </x:c>
    </x:row>
    <x:row r="150" ht="27" customHeight="1">
      <x:c r="A150" s="40"/>
      <x:c r="B150" s="41"/>
      <x:c r="C150" s="41"/>
      <x:c r="D150" s="41"/>
      <x:c r="E150" s="41"/>
      <x:c r="F150" s="42"/>
      <x:c r="G150" s="42"/>
      <x:c r="H150" s="42"/>
      <x:c r="I150" s="41"/>
      <x:c r="J150" s="37" t="str">
        <x:f>IF(COUNTA(A150:I150)=0,"",IF(OR(NOT(ISNUMBER(A150)),B150="",AND(C150&lt;&gt;"Sale",C150&lt;&gt;"Purchase",C150&lt;&gt;"Adjustment"),COUNTIFS(Products!$A$6:$A$105,D150)&lt;&gt;1,NOT(ISNUMBER(E150)),E150=0,AND(C150&lt;&gt;"Adjustment",E150&lt;0)),"Check inputs",IF(AND(C150="Sale",OR(NOT(ISNUMBER(F150)),NOT(ISNUMBER(G150)),NOT(ISNUMBER(H150)),F150&lt;0,G150&lt;0,H150&lt;0,G150&gt;E150*F150)),"Check sale amounts","OK")))</x:f>
      </x:c>
      <x:c r="K150" s="38" t="str">
        <x:f>IF(J150="","",IF(J150&lt;&gt;"OK","Fix row",IF(C150="Sale",E150*F150-G150,0)))</x:f>
      </x:c>
      <x:c r="L150" s="38" t="str">
        <x:f>IF(J150="","",IF(J150&lt;&gt;"OK","Fix row",IF(C150="Sale",K150-E150*H150,0)))</x:f>
      </x:c>
    </x:row>
    <x:row r="151" ht="27" customHeight="1">
      <x:c r="A151" s="40"/>
      <x:c r="B151" s="41"/>
      <x:c r="C151" s="41"/>
      <x:c r="D151" s="41"/>
      <x:c r="E151" s="41"/>
      <x:c r="F151" s="42"/>
      <x:c r="G151" s="42"/>
      <x:c r="H151" s="42"/>
      <x:c r="I151" s="41"/>
      <x:c r="J151" s="34" t="str">
        <x:f>IF(COUNTA(A151:I151)=0,"",IF(OR(NOT(ISNUMBER(A151)),B151="",AND(C151&lt;&gt;"Sale",C151&lt;&gt;"Purchase",C151&lt;&gt;"Adjustment"),COUNTIFS(Products!$A$6:$A$105,D151)&lt;&gt;1,NOT(ISNUMBER(E151)),E151=0,AND(C151&lt;&gt;"Adjustment",E151&lt;0)),"Check inputs",IF(AND(C151="Sale",OR(NOT(ISNUMBER(F151)),NOT(ISNUMBER(G151)),NOT(ISNUMBER(H151)),F151&lt;0,G151&lt;0,H151&lt;0,G151&gt;E151*F151)),"Check sale amounts","OK")))</x:f>
      </x:c>
      <x:c r="K151" s="35" t="str">
        <x:f>IF(J151="","",IF(J151&lt;&gt;"OK","Fix row",IF(C151="Sale",E151*F151-G151,0)))</x:f>
      </x:c>
      <x:c r="L151" s="35" t="str">
        <x:f>IF(J151="","",IF(J151&lt;&gt;"OK","Fix row",IF(C151="Sale",K151-E151*H151,0)))</x:f>
      </x:c>
    </x:row>
    <x:row r="152" ht="27" customHeight="1">
      <x:c r="A152" s="40"/>
      <x:c r="B152" s="41"/>
      <x:c r="C152" s="41"/>
      <x:c r="D152" s="41"/>
      <x:c r="E152" s="41"/>
      <x:c r="F152" s="42"/>
      <x:c r="G152" s="42"/>
      <x:c r="H152" s="42"/>
      <x:c r="I152" s="41"/>
      <x:c r="J152" s="37" t="str">
        <x:f>IF(COUNTA(A152:I152)=0,"",IF(OR(NOT(ISNUMBER(A152)),B152="",AND(C152&lt;&gt;"Sale",C152&lt;&gt;"Purchase",C152&lt;&gt;"Adjustment"),COUNTIFS(Products!$A$6:$A$105,D152)&lt;&gt;1,NOT(ISNUMBER(E152)),E152=0,AND(C152&lt;&gt;"Adjustment",E152&lt;0)),"Check inputs",IF(AND(C152="Sale",OR(NOT(ISNUMBER(F152)),NOT(ISNUMBER(G152)),NOT(ISNUMBER(H152)),F152&lt;0,G152&lt;0,H152&lt;0,G152&gt;E152*F152)),"Check sale amounts","OK")))</x:f>
      </x:c>
      <x:c r="K152" s="38" t="str">
        <x:f>IF(J152="","",IF(J152&lt;&gt;"OK","Fix row",IF(C152="Sale",E152*F152-G152,0)))</x:f>
      </x:c>
      <x:c r="L152" s="38" t="str">
        <x:f>IF(J152="","",IF(J152&lt;&gt;"OK","Fix row",IF(C152="Sale",K152-E152*H152,0)))</x:f>
      </x:c>
    </x:row>
    <x:row r="153" ht="27" customHeight="1">
      <x:c r="A153" s="40"/>
      <x:c r="B153" s="41"/>
      <x:c r="C153" s="41"/>
      <x:c r="D153" s="41"/>
      <x:c r="E153" s="41"/>
      <x:c r="F153" s="42"/>
      <x:c r="G153" s="42"/>
      <x:c r="H153" s="42"/>
      <x:c r="I153" s="41"/>
      <x:c r="J153" s="34" t="str">
        <x:f>IF(COUNTA(A153:I153)=0,"",IF(OR(NOT(ISNUMBER(A153)),B153="",AND(C153&lt;&gt;"Sale",C153&lt;&gt;"Purchase",C153&lt;&gt;"Adjustment"),COUNTIFS(Products!$A$6:$A$105,D153)&lt;&gt;1,NOT(ISNUMBER(E153)),E153=0,AND(C153&lt;&gt;"Adjustment",E153&lt;0)),"Check inputs",IF(AND(C153="Sale",OR(NOT(ISNUMBER(F153)),NOT(ISNUMBER(G153)),NOT(ISNUMBER(H153)),F153&lt;0,G153&lt;0,H153&lt;0,G153&gt;E153*F153)),"Check sale amounts","OK")))</x:f>
      </x:c>
      <x:c r="K153" s="35" t="str">
        <x:f>IF(J153="","",IF(J153&lt;&gt;"OK","Fix row",IF(C153="Sale",E153*F153-G153,0)))</x:f>
      </x:c>
      <x:c r="L153" s="35" t="str">
        <x:f>IF(J153="","",IF(J153&lt;&gt;"OK","Fix row",IF(C153="Sale",K153-E153*H153,0)))</x:f>
      </x:c>
    </x:row>
    <x:row r="154" ht="27" customHeight="1">
      <x:c r="A154" s="40"/>
      <x:c r="B154" s="41"/>
      <x:c r="C154" s="41"/>
      <x:c r="D154" s="41"/>
      <x:c r="E154" s="41"/>
      <x:c r="F154" s="42"/>
      <x:c r="G154" s="42"/>
      <x:c r="H154" s="42"/>
      <x:c r="I154" s="41"/>
      <x:c r="J154" s="37" t="str">
        <x:f>IF(COUNTA(A154:I154)=0,"",IF(OR(NOT(ISNUMBER(A154)),B154="",AND(C154&lt;&gt;"Sale",C154&lt;&gt;"Purchase",C154&lt;&gt;"Adjustment"),COUNTIFS(Products!$A$6:$A$105,D154)&lt;&gt;1,NOT(ISNUMBER(E154)),E154=0,AND(C154&lt;&gt;"Adjustment",E154&lt;0)),"Check inputs",IF(AND(C154="Sale",OR(NOT(ISNUMBER(F154)),NOT(ISNUMBER(G154)),NOT(ISNUMBER(H154)),F154&lt;0,G154&lt;0,H154&lt;0,G154&gt;E154*F154)),"Check sale amounts","OK")))</x:f>
      </x:c>
      <x:c r="K154" s="38" t="str">
        <x:f>IF(J154="","",IF(J154&lt;&gt;"OK","Fix row",IF(C154="Sale",E154*F154-G154,0)))</x:f>
      </x:c>
      <x:c r="L154" s="38" t="str">
        <x:f>IF(J154="","",IF(J154&lt;&gt;"OK","Fix row",IF(C154="Sale",K154-E154*H154,0)))</x:f>
      </x:c>
    </x:row>
    <x:row r="155" ht="27" customHeight="1">
      <x:c r="A155" s="40"/>
      <x:c r="B155" s="41"/>
      <x:c r="C155" s="41"/>
      <x:c r="D155" s="41"/>
      <x:c r="E155" s="41"/>
      <x:c r="F155" s="42"/>
      <x:c r="G155" s="42"/>
      <x:c r="H155" s="42"/>
      <x:c r="I155" s="41"/>
      <x:c r="J155" s="34" t="str">
        <x:f>IF(COUNTA(A155:I155)=0,"",IF(OR(NOT(ISNUMBER(A155)),B155="",AND(C155&lt;&gt;"Sale",C155&lt;&gt;"Purchase",C155&lt;&gt;"Adjustment"),COUNTIFS(Products!$A$6:$A$105,D155)&lt;&gt;1,NOT(ISNUMBER(E155)),E155=0,AND(C155&lt;&gt;"Adjustment",E155&lt;0)),"Check inputs",IF(AND(C155="Sale",OR(NOT(ISNUMBER(F155)),NOT(ISNUMBER(G155)),NOT(ISNUMBER(H155)),F155&lt;0,G155&lt;0,H155&lt;0,G155&gt;E155*F155)),"Check sale amounts","OK")))</x:f>
      </x:c>
      <x:c r="K155" s="35" t="str">
        <x:f>IF(J155="","",IF(J155&lt;&gt;"OK","Fix row",IF(C155="Sale",E155*F155-G155,0)))</x:f>
      </x:c>
      <x:c r="L155" s="35" t="str">
        <x:f>IF(J155="","",IF(J155&lt;&gt;"OK","Fix row",IF(C155="Sale",K155-E155*H155,0)))</x:f>
      </x:c>
    </x:row>
    <x:row r="156" ht="27" customHeight="1">
      <x:c r="A156" s="40"/>
      <x:c r="B156" s="41"/>
      <x:c r="C156" s="41"/>
      <x:c r="D156" s="41"/>
      <x:c r="E156" s="41"/>
      <x:c r="F156" s="42"/>
      <x:c r="G156" s="42"/>
      <x:c r="H156" s="42"/>
      <x:c r="I156" s="41"/>
      <x:c r="J156" s="37" t="str">
        <x:f>IF(COUNTA(A156:I156)=0,"",IF(OR(NOT(ISNUMBER(A156)),B156="",AND(C156&lt;&gt;"Sale",C156&lt;&gt;"Purchase",C156&lt;&gt;"Adjustment"),COUNTIFS(Products!$A$6:$A$105,D156)&lt;&gt;1,NOT(ISNUMBER(E156)),E156=0,AND(C156&lt;&gt;"Adjustment",E156&lt;0)),"Check inputs",IF(AND(C156="Sale",OR(NOT(ISNUMBER(F156)),NOT(ISNUMBER(G156)),NOT(ISNUMBER(H156)),F156&lt;0,G156&lt;0,H156&lt;0,G156&gt;E156*F156)),"Check sale amounts","OK")))</x:f>
      </x:c>
      <x:c r="K156" s="38" t="str">
        <x:f>IF(J156="","",IF(J156&lt;&gt;"OK","Fix row",IF(C156="Sale",E156*F156-G156,0)))</x:f>
      </x:c>
      <x:c r="L156" s="38" t="str">
        <x:f>IF(J156="","",IF(J156&lt;&gt;"OK","Fix row",IF(C156="Sale",K156-E156*H156,0)))</x:f>
      </x:c>
    </x:row>
    <x:row r="157" ht="27" customHeight="1">
      <x:c r="A157" s="40"/>
      <x:c r="B157" s="41"/>
      <x:c r="C157" s="41"/>
      <x:c r="D157" s="41"/>
      <x:c r="E157" s="41"/>
      <x:c r="F157" s="42"/>
      <x:c r="G157" s="42"/>
      <x:c r="H157" s="42"/>
      <x:c r="I157" s="41"/>
      <x:c r="J157" s="34" t="str">
        <x:f>IF(COUNTA(A157:I157)=0,"",IF(OR(NOT(ISNUMBER(A157)),B157="",AND(C157&lt;&gt;"Sale",C157&lt;&gt;"Purchase",C157&lt;&gt;"Adjustment"),COUNTIFS(Products!$A$6:$A$105,D157)&lt;&gt;1,NOT(ISNUMBER(E157)),E157=0,AND(C157&lt;&gt;"Adjustment",E157&lt;0)),"Check inputs",IF(AND(C157="Sale",OR(NOT(ISNUMBER(F157)),NOT(ISNUMBER(G157)),NOT(ISNUMBER(H157)),F157&lt;0,G157&lt;0,H157&lt;0,G157&gt;E157*F157)),"Check sale amounts","OK")))</x:f>
      </x:c>
      <x:c r="K157" s="35" t="str">
        <x:f>IF(J157="","",IF(J157&lt;&gt;"OK","Fix row",IF(C157="Sale",E157*F157-G157,0)))</x:f>
      </x:c>
      <x:c r="L157" s="35" t="str">
        <x:f>IF(J157="","",IF(J157&lt;&gt;"OK","Fix row",IF(C157="Sale",K157-E157*H157,0)))</x:f>
      </x:c>
    </x:row>
    <x:row r="158" ht="27" customHeight="1">
      <x:c r="A158" s="40"/>
      <x:c r="B158" s="41"/>
      <x:c r="C158" s="41"/>
      <x:c r="D158" s="41"/>
      <x:c r="E158" s="41"/>
      <x:c r="F158" s="42"/>
      <x:c r="G158" s="42"/>
      <x:c r="H158" s="42"/>
      <x:c r="I158" s="41"/>
      <x:c r="J158" s="37" t="str">
        <x:f>IF(COUNTA(A158:I158)=0,"",IF(OR(NOT(ISNUMBER(A158)),B158="",AND(C158&lt;&gt;"Sale",C158&lt;&gt;"Purchase",C158&lt;&gt;"Adjustment"),COUNTIFS(Products!$A$6:$A$105,D158)&lt;&gt;1,NOT(ISNUMBER(E158)),E158=0,AND(C158&lt;&gt;"Adjustment",E158&lt;0)),"Check inputs",IF(AND(C158="Sale",OR(NOT(ISNUMBER(F158)),NOT(ISNUMBER(G158)),NOT(ISNUMBER(H158)),F158&lt;0,G158&lt;0,H158&lt;0,G158&gt;E158*F158)),"Check sale amounts","OK")))</x:f>
      </x:c>
      <x:c r="K158" s="38" t="str">
        <x:f>IF(J158="","",IF(J158&lt;&gt;"OK","Fix row",IF(C158="Sale",E158*F158-G158,0)))</x:f>
      </x:c>
      <x:c r="L158" s="38" t="str">
        <x:f>IF(J158="","",IF(J158&lt;&gt;"OK","Fix row",IF(C158="Sale",K158-E158*H158,0)))</x:f>
      </x:c>
    </x:row>
    <x:row r="159" ht="27" customHeight="1">
      <x:c r="A159" s="40"/>
      <x:c r="B159" s="41"/>
      <x:c r="C159" s="41"/>
      <x:c r="D159" s="41"/>
      <x:c r="E159" s="41"/>
      <x:c r="F159" s="42"/>
      <x:c r="G159" s="42"/>
      <x:c r="H159" s="42"/>
      <x:c r="I159" s="41"/>
      <x:c r="J159" s="34" t="str">
        <x:f>IF(COUNTA(A159:I159)=0,"",IF(OR(NOT(ISNUMBER(A159)),B159="",AND(C159&lt;&gt;"Sale",C159&lt;&gt;"Purchase",C159&lt;&gt;"Adjustment"),COUNTIFS(Products!$A$6:$A$105,D159)&lt;&gt;1,NOT(ISNUMBER(E159)),E159=0,AND(C159&lt;&gt;"Adjustment",E159&lt;0)),"Check inputs",IF(AND(C159="Sale",OR(NOT(ISNUMBER(F159)),NOT(ISNUMBER(G159)),NOT(ISNUMBER(H159)),F159&lt;0,G159&lt;0,H159&lt;0,G159&gt;E159*F159)),"Check sale amounts","OK")))</x:f>
      </x:c>
      <x:c r="K159" s="35" t="str">
        <x:f>IF(J159="","",IF(J159&lt;&gt;"OK","Fix row",IF(C159="Sale",E159*F159-G159,0)))</x:f>
      </x:c>
      <x:c r="L159" s="35" t="str">
        <x:f>IF(J159="","",IF(J159&lt;&gt;"OK","Fix row",IF(C159="Sale",K159-E159*H159,0)))</x:f>
      </x:c>
    </x:row>
    <x:row r="160" ht="27" customHeight="1">
      <x:c r="A160" s="40"/>
      <x:c r="B160" s="41"/>
      <x:c r="C160" s="41"/>
      <x:c r="D160" s="41"/>
      <x:c r="E160" s="41"/>
      <x:c r="F160" s="42"/>
      <x:c r="G160" s="42"/>
      <x:c r="H160" s="42"/>
      <x:c r="I160" s="41"/>
      <x:c r="J160" s="37" t="str">
        <x:f>IF(COUNTA(A160:I160)=0,"",IF(OR(NOT(ISNUMBER(A160)),B160="",AND(C160&lt;&gt;"Sale",C160&lt;&gt;"Purchase",C160&lt;&gt;"Adjustment"),COUNTIFS(Products!$A$6:$A$105,D160)&lt;&gt;1,NOT(ISNUMBER(E160)),E160=0,AND(C160&lt;&gt;"Adjustment",E160&lt;0)),"Check inputs",IF(AND(C160="Sale",OR(NOT(ISNUMBER(F160)),NOT(ISNUMBER(G160)),NOT(ISNUMBER(H160)),F160&lt;0,G160&lt;0,H160&lt;0,G160&gt;E160*F160)),"Check sale amounts","OK")))</x:f>
      </x:c>
      <x:c r="K160" s="38" t="str">
        <x:f>IF(J160="","",IF(J160&lt;&gt;"OK","Fix row",IF(C160="Sale",E160*F160-G160,0)))</x:f>
      </x:c>
      <x:c r="L160" s="38" t="str">
        <x:f>IF(J160="","",IF(J160&lt;&gt;"OK","Fix row",IF(C160="Sale",K160-E160*H160,0)))</x:f>
      </x:c>
    </x:row>
    <x:row r="161" ht="27" customHeight="1">
      <x:c r="A161" s="40"/>
      <x:c r="B161" s="41"/>
      <x:c r="C161" s="41"/>
      <x:c r="D161" s="41"/>
      <x:c r="E161" s="41"/>
      <x:c r="F161" s="42"/>
      <x:c r="G161" s="42"/>
      <x:c r="H161" s="42"/>
      <x:c r="I161" s="41"/>
      <x:c r="J161" s="34" t="str">
        <x:f>IF(COUNTA(A161:I161)=0,"",IF(OR(NOT(ISNUMBER(A161)),B161="",AND(C161&lt;&gt;"Sale",C161&lt;&gt;"Purchase",C161&lt;&gt;"Adjustment"),COUNTIFS(Products!$A$6:$A$105,D161)&lt;&gt;1,NOT(ISNUMBER(E161)),E161=0,AND(C161&lt;&gt;"Adjustment",E161&lt;0)),"Check inputs",IF(AND(C161="Sale",OR(NOT(ISNUMBER(F161)),NOT(ISNUMBER(G161)),NOT(ISNUMBER(H161)),F161&lt;0,G161&lt;0,H161&lt;0,G161&gt;E161*F161)),"Check sale amounts","OK")))</x:f>
      </x:c>
      <x:c r="K161" s="35" t="str">
        <x:f>IF(J161="","",IF(J161&lt;&gt;"OK","Fix row",IF(C161="Sale",E161*F161-G161,0)))</x:f>
      </x:c>
      <x:c r="L161" s="35" t="str">
        <x:f>IF(J161="","",IF(J161&lt;&gt;"OK","Fix row",IF(C161="Sale",K161-E161*H161,0)))</x:f>
      </x:c>
    </x:row>
    <x:row r="162" ht="27" customHeight="1">
      <x:c r="A162" s="40"/>
      <x:c r="B162" s="41"/>
      <x:c r="C162" s="41"/>
      <x:c r="D162" s="41"/>
      <x:c r="E162" s="41"/>
      <x:c r="F162" s="42"/>
      <x:c r="G162" s="42"/>
      <x:c r="H162" s="42"/>
      <x:c r="I162" s="41"/>
      <x:c r="J162" s="37" t="str">
        <x:f>IF(COUNTA(A162:I162)=0,"",IF(OR(NOT(ISNUMBER(A162)),B162="",AND(C162&lt;&gt;"Sale",C162&lt;&gt;"Purchase",C162&lt;&gt;"Adjustment"),COUNTIFS(Products!$A$6:$A$105,D162)&lt;&gt;1,NOT(ISNUMBER(E162)),E162=0,AND(C162&lt;&gt;"Adjustment",E162&lt;0)),"Check inputs",IF(AND(C162="Sale",OR(NOT(ISNUMBER(F162)),NOT(ISNUMBER(G162)),NOT(ISNUMBER(H162)),F162&lt;0,G162&lt;0,H162&lt;0,G162&gt;E162*F162)),"Check sale amounts","OK")))</x:f>
      </x:c>
      <x:c r="K162" s="38" t="str">
        <x:f>IF(J162="","",IF(J162&lt;&gt;"OK","Fix row",IF(C162="Sale",E162*F162-G162,0)))</x:f>
      </x:c>
      <x:c r="L162" s="38" t="str">
        <x:f>IF(J162="","",IF(J162&lt;&gt;"OK","Fix row",IF(C162="Sale",K162-E162*H162,0)))</x:f>
      </x:c>
    </x:row>
    <x:row r="163" ht="27" customHeight="1">
      <x:c r="A163" s="40"/>
      <x:c r="B163" s="41"/>
      <x:c r="C163" s="41"/>
      <x:c r="D163" s="41"/>
      <x:c r="E163" s="41"/>
      <x:c r="F163" s="42"/>
      <x:c r="G163" s="42"/>
      <x:c r="H163" s="42"/>
      <x:c r="I163" s="41"/>
      <x:c r="J163" s="34" t="str">
        <x:f>IF(COUNTA(A163:I163)=0,"",IF(OR(NOT(ISNUMBER(A163)),B163="",AND(C163&lt;&gt;"Sale",C163&lt;&gt;"Purchase",C163&lt;&gt;"Adjustment"),COUNTIFS(Products!$A$6:$A$105,D163)&lt;&gt;1,NOT(ISNUMBER(E163)),E163=0,AND(C163&lt;&gt;"Adjustment",E163&lt;0)),"Check inputs",IF(AND(C163="Sale",OR(NOT(ISNUMBER(F163)),NOT(ISNUMBER(G163)),NOT(ISNUMBER(H163)),F163&lt;0,G163&lt;0,H163&lt;0,G163&gt;E163*F163)),"Check sale amounts","OK")))</x:f>
      </x:c>
      <x:c r="K163" s="35" t="str">
        <x:f>IF(J163="","",IF(J163&lt;&gt;"OK","Fix row",IF(C163="Sale",E163*F163-G163,0)))</x:f>
      </x:c>
      <x:c r="L163" s="35" t="str">
        <x:f>IF(J163="","",IF(J163&lt;&gt;"OK","Fix row",IF(C163="Sale",K163-E163*H163,0)))</x:f>
      </x:c>
    </x:row>
    <x:row r="164" ht="27" customHeight="1">
      <x:c r="A164" s="40"/>
      <x:c r="B164" s="41"/>
      <x:c r="C164" s="41"/>
      <x:c r="D164" s="41"/>
      <x:c r="E164" s="41"/>
      <x:c r="F164" s="42"/>
      <x:c r="G164" s="42"/>
      <x:c r="H164" s="42"/>
      <x:c r="I164" s="41"/>
      <x:c r="J164" s="37" t="str">
        <x:f>IF(COUNTA(A164:I164)=0,"",IF(OR(NOT(ISNUMBER(A164)),B164="",AND(C164&lt;&gt;"Sale",C164&lt;&gt;"Purchase",C164&lt;&gt;"Adjustment"),COUNTIFS(Products!$A$6:$A$105,D164)&lt;&gt;1,NOT(ISNUMBER(E164)),E164=0,AND(C164&lt;&gt;"Adjustment",E164&lt;0)),"Check inputs",IF(AND(C164="Sale",OR(NOT(ISNUMBER(F164)),NOT(ISNUMBER(G164)),NOT(ISNUMBER(H164)),F164&lt;0,G164&lt;0,H164&lt;0,G164&gt;E164*F164)),"Check sale amounts","OK")))</x:f>
      </x:c>
      <x:c r="K164" s="38" t="str">
        <x:f>IF(J164="","",IF(J164&lt;&gt;"OK","Fix row",IF(C164="Sale",E164*F164-G164,0)))</x:f>
      </x:c>
      <x:c r="L164" s="38" t="str">
        <x:f>IF(J164="","",IF(J164&lt;&gt;"OK","Fix row",IF(C164="Sale",K164-E164*H164,0)))</x:f>
      </x:c>
    </x:row>
    <x:row r="165" ht="27" customHeight="1">
      <x:c r="A165" s="40"/>
      <x:c r="B165" s="41"/>
      <x:c r="C165" s="41"/>
      <x:c r="D165" s="41"/>
      <x:c r="E165" s="41"/>
      <x:c r="F165" s="42"/>
      <x:c r="G165" s="42"/>
      <x:c r="H165" s="42"/>
      <x:c r="I165" s="41"/>
      <x:c r="J165" s="34" t="str">
        <x:f>IF(COUNTA(A165:I165)=0,"",IF(OR(NOT(ISNUMBER(A165)),B165="",AND(C165&lt;&gt;"Sale",C165&lt;&gt;"Purchase",C165&lt;&gt;"Adjustment"),COUNTIFS(Products!$A$6:$A$105,D165)&lt;&gt;1,NOT(ISNUMBER(E165)),E165=0,AND(C165&lt;&gt;"Adjustment",E165&lt;0)),"Check inputs",IF(AND(C165="Sale",OR(NOT(ISNUMBER(F165)),NOT(ISNUMBER(G165)),NOT(ISNUMBER(H165)),F165&lt;0,G165&lt;0,H165&lt;0,G165&gt;E165*F165)),"Check sale amounts","OK")))</x:f>
      </x:c>
      <x:c r="K165" s="35" t="str">
        <x:f>IF(J165="","",IF(J165&lt;&gt;"OK","Fix row",IF(C165="Sale",E165*F165-G165,0)))</x:f>
      </x:c>
      <x:c r="L165" s="35" t="str">
        <x:f>IF(J165="","",IF(J165&lt;&gt;"OK","Fix row",IF(C165="Sale",K165-E165*H165,0)))</x:f>
      </x:c>
    </x:row>
    <x:row r="166" ht="27" customHeight="1">
      <x:c r="A166" s="40"/>
      <x:c r="B166" s="41"/>
      <x:c r="C166" s="41"/>
      <x:c r="D166" s="41"/>
      <x:c r="E166" s="41"/>
      <x:c r="F166" s="42"/>
      <x:c r="G166" s="42"/>
      <x:c r="H166" s="42"/>
      <x:c r="I166" s="41"/>
      <x:c r="J166" s="37" t="str">
        <x:f>IF(COUNTA(A166:I166)=0,"",IF(OR(NOT(ISNUMBER(A166)),B166="",AND(C166&lt;&gt;"Sale",C166&lt;&gt;"Purchase",C166&lt;&gt;"Adjustment"),COUNTIFS(Products!$A$6:$A$105,D166)&lt;&gt;1,NOT(ISNUMBER(E166)),E166=0,AND(C166&lt;&gt;"Adjustment",E166&lt;0)),"Check inputs",IF(AND(C166="Sale",OR(NOT(ISNUMBER(F166)),NOT(ISNUMBER(G166)),NOT(ISNUMBER(H166)),F166&lt;0,G166&lt;0,H166&lt;0,G166&gt;E166*F166)),"Check sale amounts","OK")))</x:f>
      </x:c>
      <x:c r="K166" s="38" t="str">
        <x:f>IF(J166="","",IF(J166&lt;&gt;"OK","Fix row",IF(C166="Sale",E166*F166-G166,0)))</x:f>
      </x:c>
      <x:c r="L166" s="38" t="str">
        <x:f>IF(J166="","",IF(J166&lt;&gt;"OK","Fix row",IF(C166="Sale",K166-E166*H166,0)))</x:f>
      </x:c>
    </x:row>
    <x:row r="167" ht="27" customHeight="1">
      <x:c r="A167" s="40"/>
      <x:c r="B167" s="41"/>
      <x:c r="C167" s="41"/>
      <x:c r="D167" s="41"/>
      <x:c r="E167" s="41"/>
      <x:c r="F167" s="42"/>
      <x:c r="G167" s="42"/>
      <x:c r="H167" s="42"/>
      <x:c r="I167" s="41"/>
      <x:c r="J167" s="34" t="str">
        <x:f>IF(COUNTA(A167:I167)=0,"",IF(OR(NOT(ISNUMBER(A167)),B167="",AND(C167&lt;&gt;"Sale",C167&lt;&gt;"Purchase",C167&lt;&gt;"Adjustment"),COUNTIFS(Products!$A$6:$A$105,D167)&lt;&gt;1,NOT(ISNUMBER(E167)),E167=0,AND(C167&lt;&gt;"Adjustment",E167&lt;0)),"Check inputs",IF(AND(C167="Sale",OR(NOT(ISNUMBER(F167)),NOT(ISNUMBER(G167)),NOT(ISNUMBER(H167)),F167&lt;0,G167&lt;0,H167&lt;0,G167&gt;E167*F167)),"Check sale amounts","OK")))</x:f>
      </x:c>
      <x:c r="K167" s="35" t="str">
        <x:f>IF(J167="","",IF(J167&lt;&gt;"OK","Fix row",IF(C167="Sale",E167*F167-G167,0)))</x:f>
      </x:c>
      <x:c r="L167" s="35" t="str">
        <x:f>IF(J167="","",IF(J167&lt;&gt;"OK","Fix row",IF(C167="Sale",K167-E167*H167,0)))</x:f>
      </x:c>
    </x:row>
    <x:row r="168" ht="27" customHeight="1">
      <x:c r="A168" s="40"/>
      <x:c r="B168" s="41"/>
      <x:c r="C168" s="41"/>
      <x:c r="D168" s="41"/>
      <x:c r="E168" s="41"/>
      <x:c r="F168" s="42"/>
      <x:c r="G168" s="42"/>
      <x:c r="H168" s="42"/>
      <x:c r="I168" s="41"/>
      <x:c r="J168" s="37" t="str">
        <x:f>IF(COUNTA(A168:I168)=0,"",IF(OR(NOT(ISNUMBER(A168)),B168="",AND(C168&lt;&gt;"Sale",C168&lt;&gt;"Purchase",C168&lt;&gt;"Adjustment"),COUNTIFS(Products!$A$6:$A$105,D168)&lt;&gt;1,NOT(ISNUMBER(E168)),E168=0,AND(C168&lt;&gt;"Adjustment",E168&lt;0)),"Check inputs",IF(AND(C168="Sale",OR(NOT(ISNUMBER(F168)),NOT(ISNUMBER(G168)),NOT(ISNUMBER(H168)),F168&lt;0,G168&lt;0,H168&lt;0,G168&gt;E168*F168)),"Check sale amounts","OK")))</x:f>
      </x:c>
      <x:c r="K168" s="38" t="str">
        <x:f>IF(J168="","",IF(J168&lt;&gt;"OK","Fix row",IF(C168="Sale",E168*F168-G168,0)))</x:f>
      </x:c>
      <x:c r="L168" s="38" t="str">
        <x:f>IF(J168="","",IF(J168&lt;&gt;"OK","Fix row",IF(C168="Sale",K168-E168*H168,0)))</x:f>
      </x:c>
    </x:row>
    <x:row r="169" ht="27" customHeight="1">
      <x:c r="A169" s="40"/>
      <x:c r="B169" s="41"/>
      <x:c r="C169" s="41"/>
      <x:c r="D169" s="41"/>
      <x:c r="E169" s="41"/>
      <x:c r="F169" s="42"/>
      <x:c r="G169" s="42"/>
      <x:c r="H169" s="42"/>
      <x:c r="I169" s="41"/>
      <x:c r="J169" s="34" t="str">
        <x:f>IF(COUNTA(A169:I169)=0,"",IF(OR(NOT(ISNUMBER(A169)),B169="",AND(C169&lt;&gt;"Sale",C169&lt;&gt;"Purchase",C169&lt;&gt;"Adjustment"),COUNTIFS(Products!$A$6:$A$105,D169)&lt;&gt;1,NOT(ISNUMBER(E169)),E169=0,AND(C169&lt;&gt;"Adjustment",E169&lt;0)),"Check inputs",IF(AND(C169="Sale",OR(NOT(ISNUMBER(F169)),NOT(ISNUMBER(G169)),NOT(ISNUMBER(H169)),F169&lt;0,G169&lt;0,H169&lt;0,G169&gt;E169*F169)),"Check sale amounts","OK")))</x:f>
      </x:c>
      <x:c r="K169" s="35" t="str">
        <x:f>IF(J169="","",IF(J169&lt;&gt;"OK","Fix row",IF(C169="Sale",E169*F169-G169,0)))</x:f>
      </x:c>
      <x:c r="L169" s="35" t="str">
        <x:f>IF(J169="","",IF(J169&lt;&gt;"OK","Fix row",IF(C169="Sale",K169-E169*H169,0)))</x:f>
      </x:c>
    </x:row>
    <x:row r="170" ht="27" customHeight="1">
      <x:c r="A170" s="40"/>
      <x:c r="B170" s="41"/>
      <x:c r="C170" s="41"/>
      <x:c r="D170" s="41"/>
      <x:c r="E170" s="41"/>
      <x:c r="F170" s="42"/>
      <x:c r="G170" s="42"/>
      <x:c r="H170" s="42"/>
      <x:c r="I170" s="41"/>
      <x:c r="J170" s="37" t="str">
        <x:f>IF(COUNTA(A170:I170)=0,"",IF(OR(NOT(ISNUMBER(A170)),B170="",AND(C170&lt;&gt;"Sale",C170&lt;&gt;"Purchase",C170&lt;&gt;"Adjustment"),COUNTIFS(Products!$A$6:$A$105,D170)&lt;&gt;1,NOT(ISNUMBER(E170)),E170=0,AND(C170&lt;&gt;"Adjustment",E170&lt;0)),"Check inputs",IF(AND(C170="Sale",OR(NOT(ISNUMBER(F170)),NOT(ISNUMBER(G170)),NOT(ISNUMBER(H170)),F170&lt;0,G170&lt;0,H170&lt;0,G170&gt;E170*F170)),"Check sale amounts","OK")))</x:f>
      </x:c>
      <x:c r="K170" s="38" t="str">
        <x:f>IF(J170="","",IF(J170&lt;&gt;"OK","Fix row",IF(C170="Sale",E170*F170-G170,0)))</x:f>
      </x:c>
      <x:c r="L170" s="38" t="str">
        <x:f>IF(J170="","",IF(J170&lt;&gt;"OK","Fix row",IF(C170="Sale",K170-E170*H170,0)))</x:f>
      </x:c>
    </x:row>
    <x:row r="171" ht="27" customHeight="1">
      <x:c r="A171" s="40"/>
      <x:c r="B171" s="41"/>
      <x:c r="C171" s="41"/>
      <x:c r="D171" s="41"/>
      <x:c r="E171" s="41"/>
      <x:c r="F171" s="42"/>
      <x:c r="G171" s="42"/>
      <x:c r="H171" s="42"/>
      <x:c r="I171" s="41"/>
      <x:c r="J171" s="34" t="str">
        <x:f>IF(COUNTA(A171:I171)=0,"",IF(OR(NOT(ISNUMBER(A171)),B171="",AND(C171&lt;&gt;"Sale",C171&lt;&gt;"Purchase",C171&lt;&gt;"Adjustment"),COUNTIFS(Products!$A$6:$A$105,D171)&lt;&gt;1,NOT(ISNUMBER(E171)),E171=0,AND(C171&lt;&gt;"Adjustment",E171&lt;0)),"Check inputs",IF(AND(C171="Sale",OR(NOT(ISNUMBER(F171)),NOT(ISNUMBER(G171)),NOT(ISNUMBER(H171)),F171&lt;0,G171&lt;0,H171&lt;0,G171&gt;E171*F171)),"Check sale amounts","OK")))</x:f>
      </x:c>
      <x:c r="K171" s="35" t="str">
        <x:f>IF(J171="","",IF(J171&lt;&gt;"OK","Fix row",IF(C171="Sale",E171*F171-G171,0)))</x:f>
      </x:c>
      <x:c r="L171" s="35" t="str">
        <x:f>IF(J171="","",IF(J171&lt;&gt;"OK","Fix row",IF(C171="Sale",K171-E171*H171,0)))</x:f>
      </x:c>
    </x:row>
    <x:row r="172" ht="27" customHeight="1">
      <x:c r="A172" s="40"/>
      <x:c r="B172" s="41"/>
      <x:c r="C172" s="41"/>
      <x:c r="D172" s="41"/>
      <x:c r="E172" s="41"/>
      <x:c r="F172" s="42"/>
      <x:c r="G172" s="42"/>
      <x:c r="H172" s="42"/>
      <x:c r="I172" s="41"/>
      <x:c r="J172" s="37" t="str">
        <x:f>IF(COUNTA(A172:I172)=0,"",IF(OR(NOT(ISNUMBER(A172)),B172="",AND(C172&lt;&gt;"Sale",C172&lt;&gt;"Purchase",C172&lt;&gt;"Adjustment"),COUNTIFS(Products!$A$6:$A$105,D172)&lt;&gt;1,NOT(ISNUMBER(E172)),E172=0,AND(C172&lt;&gt;"Adjustment",E172&lt;0)),"Check inputs",IF(AND(C172="Sale",OR(NOT(ISNUMBER(F172)),NOT(ISNUMBER(G172)),NOT(ISNUMBER(H172)),F172&lt;0,G172&lt;0,H172&lt;0,G172&gt;E172*F172)),"Check sale amounts","OK")))</x:f>
      </x:c>
      <x:c r="K172" s="38" t="str">
        <x:f>IF(J172="","",IF(J172&lt;&gt;"OK","Fix row",IF(C172="Sale",E172*F172-G172,0)))</x:f>
      </x:c>
      <x:c r="L172" s="38" t="str">
        <x:f>IF(J172="","",IF(J172&lt;&gt;"OK","Fix row",IF(C172="Sale",K172-E172*H172,0)))</x:f>
      </x:c>
    </x:row>
    <x:row r="173" ht="27" customHeight="1">
      <x:c r="A173" s="40"/>
      <x:c r="B173" s="41"/>
      <x:c r="C173" s="41"/>
      <x:c r="D173" s="41"/>
      <x:c r="E173" s="41"/>
      <x:c r="F173" s="42"/>
      <x:c r="G173" s="42"/>
      <x:c r="H173" s="42"/>
      <x:c r="I173" s="41"/>
      <x:c r="J173" s="34" t="str">
        <x:f>IF(COUNTA(A173:I173)=0,"",IF(OR(NOT(ISNUMBER(A173)),B173="",AND(C173&lt;&gt;"Sale",C173&lt;&gt;"Purchase",C173&lt;&gt;"Adjustment"),COUNTIFS(Products!$A$6:$A$105,D173)&lt;&gt;1,NOT(ISNUMBER(E173)),E173=0,AND(C173&lt;&gt;"Adjustment",E173&lt;0)),"Check inputs",IF(AND(C173="Sale",OR(NOT(ISNUMBER(F173)),NOT(ISNUMBER(G173)),NOT(ISNUMBER(H173)),F173&lt;0,G173&lt;0,H173&lt;0,G173&gt;E173*F173)),"Check sale amounts","OK")))</x:f>
      </x:c>
      <x:c r="K173" s="35" t="str">
        <x:f>IF(J173="","",IF(J173&lt;&gt;"OK","Fix row",IF(C173="Sale",E173*F173-G173,0)))</x:f>
      </x:c>
      <x:c r="L173" s="35" t="str">
        <x:f>IF(J173="","",IF(J173&lt;&gt;"OK","Fix row",IF(C173="Sale",K173-E173*H173,0)))</x:f>
      </x:c>
    </x:row>
    <x:row r="174" ht="27" customHeight="1">
      <x:c r="A174" s="40"/>
      <x:c r="B174" s="41"/>
      <x:c r="C174" s="41"/>
      <x:c r="D174" s="41"/>
      <x:c r="E174" s="41"/>
      <x:c r="F174" s="42"/>
      <x:c r="G174" s="42"/>
      <x:c r="H174" s="42"/>
      <x:c r="I174" s="41"/>
      <x:c r="J174" s="37" t="str">
        <x:f>IF(COUNTA(A174:I174)=0,"",IF(OR(NOT(ISNUMBER(A174)),B174="",AND(C174&lt;&gt;"Sale",C174&lt;&gt;"Purchase",C174&lt;&gt;"Adjustment"),COUNTIFS(Products!$A$6:$A$105,D174)&lt;&gt;1,NOT(ISNUMBER(E174)),E174=0,AND(C174&lt;&gt;"Adjustment",E174&lt;0)),"Check inputs",IF(AND(C174="Sale",OR(NOT(ISNUMBER(F174)),NOT(ISNUMBER(G174)),NOT(ISNUMBER(H174)),F174&lt;0,G174&lt;0,H174&lt;0,G174&gt;E174*F174)),"Check sale amounts","OK")))</x:f>
      </x:c>
      <x:c r="K174" s="38" t="str">
        <x:f>IF(J174="","",IF(J174&lt;&gt;"OK","Fix row",IF(C174="Sale",E174*F174-G174,0)))</x:f>
      </x:c>
      <x:c r="L174" s="38" t="str">
        <x:f>IF(J174="","",IF(J174&lt;&gt;"OK","Fix row",IF(C174="Sale",K174-E174*H174,0)))</x:f>
      </x:c>
    </x:row>
    <x:row r="175" ht="27" customHeight="1">
      <x:c r="A175" s="40"/>
      <x:c r="B175" s="41"/>
      <x:c r="C175" s="41"/>
      <x:c r="D175" s="41"/>
      <x:c r="E175" s="41"/>
      <x:c r="F175" s="42"/>
      <x:c r="G175" s="42"/>
      <x:c r="H175" s="42"/>
      <x:c r="I175" s="41"/>
      <x:c r="J175" s="34" t="str">
        <x:f>IF(COUNTA(A175:I175)=0,"",IF(OR(NOT(ISNUMBER(A175)),B175="",AND(C175&lt;&gt;"Sale",C175&lt;&gt;"Purchase",C175&lt;&gt;"Adjustment"),COUNTIFS(Products!$A$6:$A$105,D175)&lt;&gt;1,NOT(ISNUMBER(E175)),E175=0,AND(C175&lt;&gt;"Adjustment",E175&lt;0)),"Check inputs",IF(AND(C175="Sale",OR(NOT(ISNUMBER(F175)),NOT(ISNUMBER(G175)),NOT(ISNUMBER(H175)),F175&lt;0,G175&lt;0,H175&lt;0,G175&gt;E175*F175)),"Check sale amounts","OK")))</x:f>
      </x:c>
      <x:c r="K175" s="35" t="str">
        <x:f>IF(J175="","",IF(J175&lt;&gt;"OK","Fix row",IF(C175="Sale",E175*F175-G175,0)))</x:f>
      </x:c>
      <x:c r="L175" s="35" t="str">
        <x:f>IF(J175="","",IF(J175&lt;&gt;"OK","Fix row",IF(C175="Sale",K175-E175*H175,0)))</x:f>
      </x:c>
    </x:row>
    <x:row r="176" ht="27" customHeight="1">
      <x:c r="A176" s="40"/>
      <x:c r="B176" s="41"/>
      <x:c r="C176" s="41"/>
      <x:c r="D176" s="41"/>
      <x:c r="E176" s="41"/>
      <x:c r="F176" s="42"/>
      <x:c r="G176" s="42"/>
      <x:c r="H176" s="42"/>
      <x:c r="I176" s="41"/>
      <x:c r="J176" s="37" t="str">
        <x:f>IF(COUNTA(A176:I176)=0,"",IF(OR(NOT(ISNUMBER(A176)),B176="",AND(C176&lt;&gt;"Sale",C176&lt;&gt;"Purchase",C176&lt;&gt;"Adjustment"),COUNTIFS(Products!$A$6:$A$105,D176)&lt;&gt;1,NOT(ISNUMBER(E176)),E176=0,AND(C176&lt;&gt;"Adjustment",E176&lt;0)),"Check inputs",IF(AND(C176="Sale",OR(NOT(ISNUMBER(F176)),NOT(ISNUMBER(G176)),NOT(ISNUMBER(H176)),F176&lt;0,G176&lt;0,H176&lt;0,G176&gt;E176*F176)),"Check sale amounts","OK")))</x:f>
      </x:c>
      <x:c r="K176" s="38" t="str">
        <x:f>IF(J176="","",IF(J176&lt;&gt;"OK","Fix row",IF(C176="Sale",E176*F176-G176,0)))</x:f>
      </x:c>
      <x:c r="L176" s="38" t="str">
        <x:f>IF(J176="","",IF(J176&lt;&gt;"OK","Fix row",IF(C176="Sale",K176-E176*H176,0)))</x:f>
      </x:c>
    </x:row>
    <x:row r="177" ht="27" customHeight="1">
      <x:c r="A177" s="40"/>
      <x:c r="B177" s="41"/>
      <x:c r="C177" s="41"/>
      <x:c r="D177" s="41"/>
      <x:c r="E177" s="41"/>
      <x:c r="F177" s="42"/>
      <x:c r="G177" s="42"/>
      <x:c r="H177" s="42"/>
      <x:c r="I177" s="41"/>
      <x:c r="J177" s="34" t="str">
        <x:f>IF(COUNTA(A177:I177)=0,"",IF(OR(NOT(ISNUMBER(A177)),B177="",AND(C177&lt;&gt;"Sale",C177&lt;&gt;"Purchase",C177&lt;&gt;"Adjustment"),COUNTIFS(Products!$A$6:$A$105,D177)&lt;&gt;1,NOT(ISNUMBER(E177)),E177=0,AND(C177&lt;&gt;"Adjustment",E177&lt;0)),"Check inputs",IF(AND(C177="Sale",OR(NOT(ISNUMBER(F177)),NOT(ISNUMBER(G177)),NOT(ISNUMBER(H177)),F177&lt;0,G177&lt;0,H177&lt;0,G177&gt;E177*F177)),"Check sale amounts","OK")))</x:f>
      </x:c>
      <x:c r="K177" s="35" t="str">
        <x:f>IF(J177="","",IF(J177&lt;&gt;"OK","Fix row",IF(C177="Sale",E177*F177-G177,0)))</x:f>
      </x:c>
      <x:c r="L177" s="35" t="str">
        <x:f>IF(J177="","",IF(J177&lt;&gt;"OK","Fix row",IF(C177="Sale",K177-E177*H177,0)))</x:f>
      </x:c>
    </x:row>
    <x:row r="178" ht="27" customHeight="1">
      <x:c r="A178" s="40"/>
      <x:c r="B178" s="41"/>
      <x:c r="C178" s="41"/>
      <x:c r="D178" s="41"/>
      <x:c r="E178" s="41"/>
      <x:c r="F178" s="42"/>
      <x:c r="G178" s="42"/>
      <x:c r="H178" s="42"/>
      <x:c r="I178" s="41"/>
      <x:c r="J178" s="37" t="str">
        <x:f>IF(COUNTA(A178:I178)=0,"",IF(OR(NOT(ISNUMBER(A178)),B178="",AND(C178&lt;&gt;"Sale",C178&lt;&gt;"Purchase",C178&lt;&gt;"Adjustment"),COUNTIFS(Products!$A$6:$A$105,D178)&lt;&gt;1,NOT(ISNUMBER(E178)),E178=0,AND(C178&lt;&gt;"Adjustment",E178&lt;0)),"Check inputs",IF(AND(C178="Sale",OR(NOT(ISNUMBER(F178)),NOT(ISNUMBER(G178)),NOT(ISNUMBER(H178)),F178&lt;0,G178&lt;0,H178&lt;0,G178&gt;E178*F178)),"Check sale amounts","OK")))</x:f>
      </x:c>
      <x:c r="K178" s="38" t="str">
        <x:f>IF(J178="","",IF(J178&lt;&gt;"OK","Fix row",IF(C178="Sale",E178*F178-G178,0)))</x:f>
      </x:c>
      <x:c r="L178" s="38" t="str">
        <x:f>IF(J178="","",IF(J178&lt;&gt;"OK","Fix row",IF(C178="Sale",K178-E178*H178,0)))</x:f>
      </x:c>
    </x:row>
    <x:row r="179" ht="27" customHeight="1">
      <x:c r="A179" s="40"/>
      <x:c r="B179" s="41"/>
      <x:c r="C179" s="41"/>
      <x:c r="D179" s="41"/>
      <x:c r="E179" s="41"/>
      <x:c r="F179" s="42"/>
      <x:c r="G179" s="42"/>
      <x:c r="H179" s="42"/>
      <x:c r="I179" s="41"/>
      <x:c r="J179" s="34" t="str">
        <x:f>IF(COUNTA(A179:I179)=0,"",IF(OR(NOT(ISNUMBER(A179)),B179="",AND(C179&lt;&gt;"Sale",C179&lt;&gt;"Purchase",C179&lt;&gt;"Adjustment"),COUNTIFS(Products!$A$6:$A$105,D179)&lt;&gt;1,NOT(ISNUMBER(E179)),E179=0,AND(C179&lt;&gt;"Adjustment",E179&lt;0)),"Check inputs",IF(AND(C179="Sale",OR(NOT(ISNUMBER(F179)),NOT(ISNUMBER(G179)),NOT(ISNUMBER(H179)),F179&lt;0,G179&lt;0,H179&lt;0,G179&gt;E179*F179)),"Check sale amounts","OK")))</x:f>
      </x:c>
      <x:c r="K179" s="35" t="str">
        <x:f>IF(J179="","",IF(J179&lt;&gt;"OK","Fix row",IF(C179="Sale",E179*F179-G179,0)))</x:f>
      </x:c>
      <x:c r="L179" s="35" t="str">
        <x:f>IF(J179="","",IF(J179&lt;&gt;"OK","Fix row",IF(C179="Sale",K179-E179*H179,0)))</x:f>
      </x:c>
    </x:row>
    <x:row r="180" ht="27" customHeight="1">
      <x:c r="A180" s="40"/>
      <x:c r="B180" s="41"/>
      <x:c r="C180" s="41"/>
      <x:c r="D180" s="41"/>
      <x:c r="E180" s="41"/>
      <x:c r="F180" s="42"/>
      <x:c r="G180" s="42"/>
      <x:c r="H180" s="42"/>
      <x:c r="I180" s="41"/>
      <x:c r="J180" s="37" t="str">
        <x:f>IF(COUNTA(A180:I180)=0,"",IF(OR(NOT(ISNUMBER(A180)),B180="",AND(C180&lt;&gt;"Sale",C180&lt;&gt;"Purchase",C180&lt;&gt;"Adjustment"),COUNTIFS(Products!$A$6:$A$105,D180)&lt;&gt;1,NOT(ISNUMBER(E180)),E180=0,AND(C180&lt;&gt;"Adjustment",E180&lt;0)),"Check inputs",IF(AND(C180="Sale",OR(NOT(ISNUMBER(F180)),NOT(ISNUMBER(G180)),NOT(ISNUMBER(H180)),F180&lt;0,G180&lt;0,H180&lt;0,G180&gt;E180*F180)),"Check sale amounts","OK")))</x:f>
      </x:c>
      <x:c r="K180" s="38" t="str">
        <x:f>IF(J180="","",IF(J180&lt;&gt;"OK","Fix row",IF(C180="Sale",E180*F180-G180,0)))</x:f>
      </x:c>
      <x:c r="L180" s="38" t="str">
        <x:f>IF(J180="","",IF(J180&lt;&gt;"OK","Fix row",IF(C180="Sale",K180-E180*H180,0)))</x:f>
      </x:c>
    </x:row>
    <x:row r="181" ht="27" customHeight="1">
      <x:c r="A181" s="40"/>
      <x:c r="B181" s="41"/>
      <x:c r="C181" s="41"/>
      <x:c r="D181" s="41"/>
      <x:c r="E181" s="41"/>
      <x:c r="F181" s="42"/>
      <x:c r="G181" s="42"/>
      <x:c r="H181" s="42"/>
      <x:c r="I181" s="41"/>
      <x:c r="J181" s="34" t="str">
        <x:f>IF(COUNTA(A181:I181)=0,"",IF(OR(NOT(ISNUMBER(A181)),B181="",AND(C181&lt;&gt;"Sale",C181&lt;&gt;"Purchase",C181&lt;&gt;"Adjustment"),COUNTIFS(Products!$A$6:$A$105,D181)&lt;&gt;1,NOT(ISNUMBER(E181)),E181=0,AND(C181&lt;&gt;"Adjustment",E181&lt;0)),"Check inputs",IF(AND(C181="Sale",OR(NOT(ISNUMBER(F181)),NOT(ISNUMBER(G181)),NOT(ISNUMBER(H181)),F181&lt;0,G181&lt;0,H181&lt;0,G181&gt;E181*F181)),"Check sale amounts","OK")))</x:f>
      </x:c>
      <x:c r="K181" s="35" t="str">
        <x:f>IF(J181="","",IF(J181&lt;&gt;"OK","Fix row",IF(C181="Sale",E181*F181-G181,0)))</x:f>
      </x:c>
      <x:c r="L181" s="35" t="str">
        <x:f>IF(J181="","",IF(J181&lt;&gt;"OK","Fix row",IF(C181="Sale",K181-E181*H181,0)))</x:f>
      </x:c>
    </x:row>
    <x:row r="182" ht="27" customHeight="1">
      <x:c r="A182" s="40"/>
      <x:c r="B182" s="41"/>
      <x:c r="C182" s="41"/>
      <x:c r="D182" s="41"/>
      <x:c r="E182" s="41"/>
      <x:c r="F182" s="42"/>
      <x:c r="G182" s="42"/>
      <x:c r="H182" s="42"/>
      <x:c r="I182" s="41"/>
      <x:c r="J182" s="37" t="str">
        <x:f>IF(COUNTA(A182:I182)=0,"",IF(OR(NOT(ISNUMBER(A182)),B182="",AND(C182&lt;&gt;"Sale",C182&lt;&gt;"Purchase",C182&lt;&gt;"Adjustment"),COUNTIFS(Products!$A$6:$A$105,D182)&lt;&gt;1,NOT(ISNUMBER(E182)),E182=0,AND(C182&lt;&gt;"Adjustment",E182&lt;0)),"Check inputs",IF(AND(C182="Sale",OR(NOT(ISNUMBER(F182)),NOT(ISNUMBER(G182)),NOT(ISNUMBER(H182)),F182&lt;0,G182&lt;0,H182&lt;0,G182&gt;E182*F182)),"Check sale amounts","OK")))</x:f>
      </x:c>
      <x:c r="K182" s="38" t="str">
        <x:f>IF(J182="","",IF(J182&lt;&gt;"OK","Fix row",IF(C182="Sale",E182*F182-G182,0)))</x:f>
      </x:c>
      <x:c r="L182" s="38" t="str">
        <x:f>IF(J182="","",IF(J182&lt;&gt;"OK","Fix row",IF(C182="Sale",K182-E182*H182,0)))</x:f>
      </x:c>
    </x:row>
    <x:row r="183" ht="27" customHeight="1">
      <x:c r="A183" s="40"/>
      <x:c r="B183" s="41"/>
      <x:c r="C183" s="41"/>
      <x:c r="D183" s="41"/>
      <x:c r="E183" s="41"/>
      <x:c r="F183" s="42"/>
      <x:c r="G183" s="42"/>
      <x:c r="H183" s="42"/>
      <x:c r="I183" s="41"/>
      <x:c r="J183" s="34" t="str">
        <x:f>IF(COUNTA(A183:I183)=0,"",IF(OR(NOT(ISNUMBER(A183)),B183="",AND(C183&lt;&gt;"Sale",C183&lt;&gt;"Purchase",C183&lt;&gt;"Adjustment"),COUNTIFS(Products!$A$6:$A$105,D183)&lt;&gt;1,NOT(ISNUMBER(E183)),E183=0,AND(C183&lt;&gt;"Adjustment",E183&lt;0)),"Check inputs",IF(AND(C183="Sale",OR(NOT(ISNUMBER(F183)),NOT(ISNUMBER(G183)),NOT(ISNUMBER(H183)),F183&lt;0,G183&lt;0,H183&lt;0,G183&gt;E183*F183)),"Check sale amounts","OK")))</x:f>
      </x:c>
      <x:c r="K183" s="35" t="str">
        <x:f>IF(J183="","",IF(J183&lt;&gt;"OK","Fix row",IF(C183="Sale",E183*F183-G183,0)))</x:f>
      </x:c>
      <x:c r="L183" s="35" t="str">
        <x:f>IF(J183="","",IF(J183&lt;&gt;"OK","Fix row",IF(C183="Sale",K183-E183*H183,0)))</x:f>
      </x:c>
    </x:row>
    <x:row r="184" ht="27" customHeight="1">
      <x:c r="A184" s="40"/>
      <x:c r="B184" s="41"/>
      <x:c r="C184" s="41"/>
      <x:c r="D184" s="41"/>
      <x:c r="E184" s="41"/>
      <x:c r="F184" s="42"/>
      <x:c r="G184" s="42"/>
      <x:c r="H184" s="42"/>
      <x:c r="I184" s="41"/>
      <x:c r="J184" s="37" t="str">
        <x:f>IF(COUNTA(A184:I184)=0,"",IF(OR(NOT(ISNUMBER(A184)),B184="",AND(C184&lt;&gt;"Sale",C184&lt;&gt;"Purchase",C184&lt;&gt;"Adjustment"),COUNTIFS(Products!$A$6:$A$105,D184)&lt;&gt;1,NOT(ISNUMBER(E184)),E184=0,AND(C184&lt;&gt;"Adjustment",E184&lt;0)),"Check inputs",IF(AND(C184="Sale",OR(NOT(ISNUMBER(F184)),NOT(ISNUMBER(G184)),NOT(ISNUMBER(H184)),F184&lt;0,G184&lt;0,H184&lt;0,G184&gt;E184*F184)),"Check sale amounts","OK")))</x:f>
      </x:c>
      <x:c r="K184" s="38" t="str">
        <x:f>IF(J184="","",IF(J184&lt;&gt;"OK","Fix row",IF(C184="Sale",E184*F184-G184,0)))</x:f>
      </x:c>
      <x:c r="L184" s="38" t="str">
        <x:f>IF(J184="","",IF(J184&lt;&gt;"OK","Fix row",IF(C184="Sale",K184-E184*H184,0)))</x:f>
      </x:c>
    </x:row>
    <x:row r="185" ht="27" customHeight="1">
      <x:c r="A185" s="40"/>
      <x:c r="B185" s="41"/>
      <x:c r="C185" s="41"/>
      <x:c r="D185" s="41"/>
      <x:c r="E185" s="41"/>
      <x:c r="F185" s="42"/>
      <x:c r="G185" s="42"/>
      <x:c r="H185" s="42"/>
      <x:c r="I185" s="41"/>
      <x:c r="J185" s="34" t="str">
        <x:f>IF(COUNTA(A185:I185)=0,"",IF(OR(NOT(ISNUMBER(A185)),B185="",AND(C185&lt;&gt;"Sale",C185&lt;&gt;"Purchase",C185&lt;&gt;"Adjustment"),COUNTIFS(Products!$A$6:$A$105,D185)&lt;&gt;1,NOT(ISNUMBER(E185)),E185=0,AND(C185&lt;&gt;"Adjustment",E185&lt;0)),"Check inputs",IF(AND(C185="Sale",OR(NOT(ISNUMBER(F185)),NOT(ISNUMBER(G185)),NOT(ISNUMBER(H185)),F185&lt;0,G185&lt;0,H185&lt;0,G185&gt;E185*F185)),"Check sale amounts","OK")))</x:f>
      </x:c>
      <x:c r="K185" s="35" t="str">
        <x:f>IF(J185="","",IF(J185&lt;&gt;"OK","Fix row",IF(C185="Sale",E185*F185-G185,0)))</x:f>
      </x:c>
      <x:c r="L185" s="35" t="str">
        <x:f>IF(J185="","",IF(J185&lt;&gt;"OK","Fix row",IF(C185="Sale",K185-E185*H185,0)))</x:f>
      </x:c>
    </x:row>
    <x:row r="186" ht="27" customHeight="1">
      <x:c r="A186" s="40"/>
      <x:c r="B186" s="41"/>
      <x:c r="C186" s="41"/>
      <x:c r="D186" s="41"/>
      <x:c r="E186" s="41"/>
      <x:c r="F186" s="42"/>
      <x:c r="G186" s="42"/>
      <x:c r="H186" s="42"/>
      <x:c r="I186" s="41"/>
      <x:c r="J186" s="37" t="str">
        <x:f>IF(COUNTA(A186:I186)=0,"",IF(OR(NOT(ISNUMBER(A186)),B186="",AND(C186&lt;&gt;"Sale",C186&lt;&gt;"Purchase",C186&lt;&gt;"Adjustment"),COUNTIFS(Products!$A$6:$A$105,D186)&lt;&gt;1,NOT(ISNUMBER(E186)),E186=0,AND(C186&lt;&gt;"Adjustment",E186&lt;0)),"Check inputs",IF(AND(C186="Sale",OR(NOT(ISNUMBER(F186)),NOT(ISNUMBER(G186)),NOT(ISNUMBER(H186)),F186&lt;0,G186&lt;0,H186&lt;0,G186&gt;E186*F186)),"Check sale amounts","OK")))</x:f>
      </x:c>
      <x:c r="K186" s="38" t="str">
        <x:f>IF(J186="","",IF(J186&lt;&gt;"OK","Fix row",IF(C186="Sale",E186*F186-G186,0)))</x:f>
      </x:c>
      <x:c r="L186" s="38" t="str">
        <x:f>IF(J186="","",IF(J186&lt;&gt;"OK","Fix row",IF(C186="Sale",K186-E186*H186,0)))</x:f>
      </x:c>
    </x:row>
    <x:row r="187" ht="27" customHeight="1">
      <x:c r="A187" s="40"/>
      <x:c r="B187" s="41"/>
      <x:c r="C187" s="41"/>
      <x:c r="D187" s="41"/>
      <x:c r="E187" s="41"/>
      <x:c r="F187" s="42"/>
      <x:c r="G187" s="42"/>
      <x:c r="H187" s="42"/>
      <x:c r="I187" s="41"/>
      <x:c r="J187" s="34" t="str">
        <x:f>IF(COUNTA(A187:I187)=0,"",IF(OR(NOT(ISNUMBER(A187)),B187="",AND(C187&lt;&gt;"Sale",C187&lt;&gt;"Purchase",C187&lt;&gt;"Adjustment"),COUNTIFS(Products!$A$6:$A$105,D187)&lt;&gt;1,NOT(ISNUMBER(E187)),E187=0,AND(C187&lt;&gt;"Adjustment",E187&lt;0)),"Check inputs",IF(AND(C187="Sale",OR(NOT(ISNUMBER(F187)),NOT(ISNUMBER(G187)),NOT(ISNUMBER(H187)),F187&lt;0,G187&lt;0,H187&lt;0,G187&gt;E187*F187)),"Check sale amounts","OK")))</x:f>
      </x:c>
      <x:c r="K187" s="35" t="str">
        <x:f>IF(J187="","",IF(J187&lt;&gt;"OK","Fix row",IF(C187="Sale",E187*F187-G187,0)))</x:f>
      </x:c>
      <x:c r="L187" s="35" t="str">
        <x:f>IF(J187="","",IF(J187&lt;&gt;"OK","Fix row",IF(C187="Sale",K187-E187*H187,0)))</x:f>
      </x:c>
    </x:row>
    <x:row r="188" ht="27" customHeight="1">
      <x:c r="A188" s="40"/>
      <x:c r="B188" s="41"/>
      <x:c r="C188" s="41"/>
      <x:c r="D188" s="41"/>
      <x:c r="E188" s="41"/>
      <x:c r="F188" s="42"/>
      <x:c r="G188" s="42"/>
      <x:c r="H188" s="42"/>
      <x:c r="I188" s="41"/>
      <x:c r="J188" s="37" t="str">
        <x:f>IF(COUNTA(A188:I188)=0,"",IF(OR(NOT(ISNUMBER(A188)),B188="",AND(C188&lt;&gt;"Sale",C188&lt;&gt;"Purchase",C188&lt;&gt;"Adjustment"),COUNTIFS(Products!$A$6:$A$105,D188)&lt;&gt;1,NOT(ISNUMBER(E188)),E188=0,AND(C188&lt;&gt;"Adjustment",E188&lt;0)),"Check inputs",IF(AND(C188="Sale",OR(NOT(ISNUMBER(F188)),NOT(ISNUMBER(G188)),NOT(ISNUMBER(H188)),F188&lt;0,G188&lt;0,H188&lt;0,G188&gt;E188*F188)),"Check sale amounts","OK")))</x:f>
      </x:c>
      <x:c r="K188" s="38" t="str">
        <x:f>IF(J188="","",IF(J188&lt;&gt;"OK","Fix row",IF(C188="Sale",E188*F188-G188,0)))</x:f>
      </x:c>
      <x:c r="L188" s="38" t="str">
        <x:f>IF(J188="","",IF(J188&lt;&gt;"OK","Fix row",IF(C188="Sale",K188-E188*H188,0)))</x:f>
      </x:c>
    </x:row>
    <x:row r="189" ht="27" customHeight="1">
      <x:c r="A189" s="40"/>
      <x:c r="B189" s="41"/>
      <x:c r="C189" s="41"/>
      <x:c r="D189" s="41"/>
      <x:c r="E189" s="41"/>
      <x:c r="F189" s="42"/>
      <x:c r="G189" s="42"/>
      <x:c r="H189" s="42"/>
      <x:c r="I189" s="41"/>
      <x:c r="J189" s="34" t="str">
        <x:f>IF(COUNTA(A189:I189)=0,"",IF(OR(NOT(ISNUMBER(A189)),B189="",AND(C189&lt;&gt;"Sale",C189&lt;&gt;"Purchase",C189&lt;&gt;"Adjustment"),COUNTIFS(Products!$A$6:$A$105,D189)&lt;&gt;1,NOT(ISNUMBER(E189)),E189=0,AND(C189&lt;&gt;"Adjustment",E189&lt;0)),"Check inputs",IF(AND(C189="Sale",OR(NOT(ISNUMBER(F189)),NOT(ISNUMBER(G189)),NOT(ISNUMBER(H189)),F189&lt;0,G189&lt;0,H189&lt;0,G189&gt;E189*F189)),"Check sale amounts","OK")))</x:f>
      </x:c>
      <x:c r="K189" s="35" t="str">
        <x:f>IF(J189="","",IF(J189&lt;&gt;"OK","Fix row",IF(C189="Sale",E189*F189-G189,0)))</x:f>
      </x:c>
      <x:c r="L189" s="35" t="str">
        <x:f>IF(J189="","",IF(J189&lt;&gt;"OK","Fix row",IF(C189="Sale",K189-E189*H189,0)))</x:f>
      </x:c>
    </x:row>
    <x:row r="190" ht="27" customHeight="1">
      <x:c r="A190" s="40"/>
      <x:c r="B190" s="41"/>
      <x:c r="C190" s="41"/>
      <x:c r="D190" s="41"/>
      <x:c r="E190" s="41"/>
      <x:c r="F190" s="42"/>
      <x:c r="G190" s="42"/>
      <x:c r="H190" s="42"/>
      <x:c r="I190" s="41"/>
      <x:c r="J190" s="37" t="str">
        <x:f>IF(COUNTA(A190:I190)=0,"",IF(OR(NOT(ISNUMBER(A190)),B190="",AND(C190&lt;&gt;"Sale",C190&lt;&gt;"Purchase",C190&lt;&gt;"Adjustment"),COUNTIFS(Products!$A$6:$A$105,D190)&lt;&gt;1,NOT(ISNUMBER(E190)),E190=0,AND(C190&lt;&gt;"Adjustment",E190&lt;0)),"Check inputs",IF(AND(C190="Sale",OR(NOT(ISNUMBER(F190)),NOT(ISNUMBER(G190)),NOT(ISNUMBER(H190)),F190&lt;0,G190&lt;0,H190&lt;0,G190&gt;E190*F190)),"Check sale amounts","OK")))</x:f>
      </x:c>
      <x:c r="K190" s="38" t="str">
        <x:f>IF(J190="","",IF(J190&lt;&gt;"OK","Fix row",IF(C190="Sale",E190*F190-G190,0)))</x:f>
      </x:c>
      <x:c r="L190" s="38" t="str">
        <x:f>IF(J190="","",IF(J190&lt;&gt;"OK","Fix row",IF(C190="Sale",K190-E190*H190,0)))</x:f>
      </x:c>
    </x:row>
    <x:row r="191" ht="27" customHeight="1">
      <x:c r="A191" s="40"/>
      <x:c r="B191" s="41"/>
      <x:c r="C191" s="41"/>
      <x:c r="D191" s="41"/>
      <x:c r="E191" s="41"/>
      <x:c r="F191" s="42"/>
      <x:c r="G191" s="42"/>
      <x:c r="H191" s="42"/>
      <x:c r="I191" s="41"/>
      <x:c r="J191" s="34" t="str">
        <x:f>IF(COUNTA(A191:I191)=0,"",IF(OR(NOT(ISNUMBER(A191)),B191="",AND(C191&lt;&gt;"Sale",C191&lt;&gt;"Purchase",C191&lt;&gt;"Adjustment"),COUNTIFS(Products!$A$6:$A$105,D191)&lt;&gt;1,NOT(ISNUMBER(E191)),E191=0,AND(C191&lt;&gt;"Adjustment",E191&lt;0)),"Check inputs",IF(AND(C191="Sale",OR(NOT(ISNUMBER(F191)),NOT(ISNUMBER(G191)),NOT(ISNUMBER(H191)),F191&lt;0,G191&lt;0,H191&lt;0,G191&gt;E191*F191)),"Check sale amounts","OK")))</x:f>
      </x:c>
      <x:c r="K191" s="35" t="str">
        <x:f>IF(J191="","",IF(J191&lt;&gt;"OK","Fix row",IF(C191="Sale",E191*F191-G191,0)))</x:f>
      </x:c>
      <x:c r="L191" s="35" t="str">
        <x:f>IF(J191="","",IF(J191&lt;&gt;"OK","Fix row",IF(C191="Sale",K191-E191*H191,0)))</x:f>
      </x:c>
    </x:row>
    <x:row r="192" ht="27" customHeight="1">
      <x:c r="A192" s="40"/>
      <x:c r="B192" s="41"/>
      <x:c r="C192" s="41"/>
      <x:c r="D192" s="41"/>
      <x:c r="E192" s="41"/>
      <x:c r="F192" s="42"/>
      <x:c r="G192" s="42"/>
      <x:c r="H192" s="42"/>
      <x:c r="I192" s="41"/>
      <x:c r="J192" s="37" t="str">
        <x:f>IF(COUNTA(A192:I192)=0,"",IF(OR(NOT(ISNUMBER(A192)),B192="",AND(C192&lt;&gt;"Sale",C192&lt;&gt;"Purchase",C192&lt;&gt;"Adjustment"),COUNTIFS(Products!$A$6:$A$105,D192)&lt;&gt;1,NOT(ISNUMBER(E192)),E192=0,AND(C192&lt;&gt;"Adjustment",E192&lt;0)),"Check inputs",IF(AND(C192="Sale",OR(NOT(ISNUMBER(F192)),NOT(ISNUMBER(G192)),NOT(ISNUMBER(H192)),F192&lt;0,G192&lt;0,H192&lt;0,G192&gt;E192*F192)),"Check sale amounts","OK")))</x:f>
      </x:c>
      <x:c r="K192" s="38" t="str">
        <x:f>IF(J192="","",IF(J192&lt;&gt;"OK","Fix row",IF(C192="Sale",E192*F192-G192,0)))</x:f>
      </x:c>
      <x:c r="L192" s="38" t="str">
        <x:f>IF(J192="","",IF(J192&lt;&gt;"OK","Fix row",IF(C192="Sale",K192-E192*H192,0)))</x:f>
      </x:c>
    </x:row>
    <x:row r="193" ht="27" customHeight="1">
      <x:c r="A193" s="40"/>
      <x:c r="B193" s="41"/>
      <x:c r="C193" s="41"/>
      <x:c r="D193" s="41"/>
      <x:c r="E193" s="41"/>
      <x:c r="F193" s="42"/>
      <x:c r="G193" s="42"/>
      <x:c r="H193" s="42"/>
      <x:c r="I193" s="41"/>
      <x:c r="J193" s="34" t="str">
        <x:f>IF(COUNTA(A193:I193)=0,"",IF(OR(NOT(ISNUMBER(A193)),B193="",AND(C193&lt;&gt;"Sale",C193&lt;&gt;"Purchase",C193&lt;&gt;"Adjustment"),COUNTIFS(Products!$A$6:$A$105,D193)&lt;&gt;1,NOT(ISNUMBER(E193)),E193=0,AND(C193&lt;&gt;"Adjustment",E193&lt;0)),"Check inputs",IF(AND(C193="Sale",OR(NOT(ISNUMBER(F193)),NOT(ISNUMBER(G193)),NOT(ISNUMBER(H193)),F193&lt;0,G193&lt;0,H193&lt;0,G193&gt;E193*F193)),"Check sale amounts","OK")))</x:f>
      </x:c>
      <x:c r="K193" s="35" t="str">
        <x:f>IF(J193="","",IF(J193&lt;&gt;"OK","Fix row",IF(C193="Sale",E193*F193-G193,0)))</x:f>
      </x:c>
      <x:c r="L193" s="35" t="str">
        <x:f>IF(J193="","",IF(J193&lt;&gt;"OK","Fix row",IF(C193="Sale",K193-E193*H193,0)))</x:f>
      </x:c>
    </x:row>
    <x:row r="194" ht="27" customHeight="1">
      <x:c r="A194" s="40"/>
      <x:c r="B194" s="41"/>
      <x:c r="C194" s="41"/>
      <x:c r="D194" s="41"/>
      <x:c r="E194" s="41"/>
      <x:c r="F194" s="42"/>
      <x:c r="G194" s="42"/>
      <x:c r="H194" s="42"/>
      <x:c r="I194" s="41"/>
      <x:c r="J194" s="37" t="str">
        <x:f>IF(COUNTA(A194:I194)=0,"",IF(OR(NOT(ISNUMBER(A194)),B194="",AND(C194&lt;&gt;"Sale",C194&lt;&gt;"Purchase",C194&lt;&gt;"Adjustment"),COUNTIFS(Products!$A$6:$A$105,D194)&lt;&gt;1,NOT(ISNUMBER(E194)),E194=0,AND(C194&lt;&gt;"Adjustment",E194&lt;0)),"Check inputs",IF(AND(C194="Sale",OR(NOT(ISNUMBER(F194)),NOT(ISNUMBER(G194)),NOT(ISNUMBER(H194)),F194&lt;0,G194&lt;0,H194&lt;0,G194&gt;E194*F194)),"Check sale amounts","OK")))</x:f>
      </x:c>
      <x:c r="K194" s="38" t="str">
        <x:f>IF(J194="","",IF(J194&lt;&gt;"OK","Fix row",IF(C194="Sale",E194*F194-G194,0)))</x:f>
      </x:c>
      <x:c r="L194" s="38" t="str">
        <x:f>IF(J194="","",IF(J194&lt;&gt;"OK","Fix row",IF(C194="Sale",K194-E194*H194,0)))</x:f>
      </x:c>
    </x:row>
    <x:row r="195" ht="27" customHeight="1">
      <x:c r="A195" s="40"/>
      <x:c r="B195" s="41"/>
      <x:c r="C195" s="41"/>
      <x:c r="D195" s="41"/>
      <x:c r="E195" s="41"/>
      <x:c r="F195" s="42"/>
      <x:c r="G195" s="42"/>
      <x:c r="H195" s="42"/>
      <x:c r="I195" s="41"/>
      <x:c r="J195" s="34" t="str">
        <x:f>IF(COUNTA(A195:I195)=0,"",IF(OR(NOT(ISNUMBER(A195)),B195="",AND(C195&lt;&gt;"Sale",C195&lt;&gt;"Purchase",C195&lt;&gt;"Adjustment"),COUNTIFS(Products!$A$6:$A$105,D195)&lt;&gt;1,NOT(ISNUMBER(E195)),E195=0,AND(C195&lt;&gt;"Adjustment",E195&lt;0)),"Check inputs",IF(AND(C195="Sale",OR(NOT(ISNUMBER(F195)),NOT(ISNUMBER(G195)),NOT(ISNUMBER(H195)),F195&lt;0,G195&lt;0,H195&lt;0,G195&gt;E195*F195)),"Check sale amounts","OK")))</x:f>
      </x:c>
      <x:c r="K195" s="35" t="str">
        <x:f>IF(J195="","",IF(J195&lt;&gt;"OK","Fix row",IF(C195="Sale",E195*F195-G195,0)))</x:f>
      </x:c>
      <x:c r="L195" s="35" t="str">
        <x:f>IF(J195="","",IF(J195&lt;&gt;"OK","Fix row",IF(C195="Sale",K195-E195*H195,0)))</x:f>
      </x:c>
    </x:row>
    <x:row r="196" ht="27" customHeight="1">
      <x:c r="A196" s="40"/>
      <x:c r="B196" s="41"/>
      <x:c r="C196" s="41"/>
      <x:c r="D196" s="41"/>
      <x:c r="E196" s="41"/>
      <x:c r="F196" s="42"/>
      <x:c r="G196" s="42"/>
      <x:c r="H196" s="42"/>
      <x:c r="I196" s="41"/>
      <x:c r="J196" s="37" t="str">
        <x:f>IF(COUNTA(A196:I196)=0,"",IF(OR(NOT(ISNUMBER(A196)),B196="",AND(C196&lt;&gt;"Sale",C196&lt;&gt;"Purchase",C196&lt;&gt;"Adjustment"),COUNTIFS(Products!$A$6:$A$105,D196)&lt;&gt;1,NOT(ISNUMBER(E196)),E196=0,AND(C196&lt;&gt;"Adjustment",E196&lt;0)),"Check inputs",IF(AND(C196="Sale",OR(NOT(ISNUMBER(F196)),NOT(ISNUMBER(G196)),NOT(ISNUMBER(H196)),F196&lt;0,G196&lt;0,H196&lt;0,G196&gt;E196*F196)),"Check sale amounts","OK")))</x:f>
      </x:c>
      <x:c r="K196" s="38" t="str">
        <x:f>IF(J196="","",IF(J196&lt;&gt;"OK","Fix row",IF(C196="Sale",E196*F196-G196,0)))</x:f>
      </x:c>
      <x:c r="L196" s="38" t="str">
        <x:f>IF(J196="","",IF(J196&lt;&gt;"OK","Fix row",IF(C196="Sale",K196-E196*H196,0)))</x:f>
      </x:c>
    </x:row>
    <x:row r="197" ht="27" customHeight="1">
      <x:c r="A197" s="40"/>
      <x:c r="B197" s="41"/>
      <x:c r="C197" s="41"/>
      <x:c r="D197" s="41"/>
      <x:c r="E197" s="41"/>
      <x:c r="F197" s="42"/>
      <x:c r="G197" s="42"/>
      <x:c r="H197" s="42"/>
      <x:c r="I197" s="41"/>
      <x:c r="J197" s="34" t="str">
        <x:f>IF(COUNTA(A197:I197)=0,"",IF(OR(NOT(ISNUMBER(A197)),B197="",AND(C197&lt;&gt;"Sale",C197&lt;&gt;"Purchase",C197&lt;&gt;"Adjustment"),COUNTIFS(Products!$A$6:$A$105,D197)&lt;&gt;1,NOT(ISNUMBER(E197)),E197=0,AND(C197&lt;&gt;"Adjustment",E197&lt;0)),"Check inputs",IF(AND(C197="Sale",OR(NOT(ISNUMBER(F197)),NOT(ISNUMBER(G197)),NOT(ISNUMBER(H197)),F197&lt;0,G197&lt;0,H197&lt;0,G197&gt;E197*F197)),"Check sale amounts","OK")))</x:f>
      </x:c>
      <x:c r="K197" s="35" t="str">
        <x:f>IF(J197="","",IF(J197&lt;&gt;"OK","Fix row",IF(C197="Sale",E197*F197-G197,0)))</x:f>
      </x:c>
      <x:c r="L197" s="35" t="str">
        <x:f>IF(J197="","",IF(J197&lt;&gt;"OK","Fix row",IF(C197="Sale",K197-E197*H197,0)))</x:f>
      </x:c>
    </x:row>
    <x:row r="198" ht="27" customHeight="1">
      <x:c r="A198" s="40"/>
      <x:c r="B198" s="41"/>
      <x:c r="C198" s="41"/>
      <x:c r="D198" s="41"/>
      <x:c r="E198" s="41"/>
      <x:c r="F198" s="42"/>
      <x:c r="G198" s="42"/>
      <x:c r="H198" s="42"/>
      <x:c r="I198" s="41"/>
      <x:c r="J198" s="37" t="str">
        <x:f>IF(COUNTA(A198:I198)=0,"",IF(OR(NOT(ISNUMBER(A198)),B198="",AND(C198&lt;&gt;"Sale",C198&lt;&gt;"Purchase",C198&lt;&gt;"Adjustment"),COUNTIFS(Products!$A$6:$A$105,D198)&lt;&gt;1,NOT(ISNUMBER(E198)),E198=0,AND(C198&lt;&gt;"Adjustment",E198&lt;0)),"Check inputs",IF(AND(C198="Sale",OR(NOT(ISNUMBER(F198)),NOT(ISNUMBER(G198)),NOT(ISNUMBER(H198)),F198&lt;0,G198&lt;0,H198&lt;0,G198&gt;E198*F198)),"Check sale amounts","OK")))</x:f>
      </x:c>
      <x:c r="K198" s="38" t="str">
        <x:f>IF(J198="","",IF(J198&lt;&gt;"OK","Fix row",IF(C198="Sale",E198*F198-G198,0)))</x:f>
      </x:c>
      <x:c r="L198" s="38" t="str">
        <x:f>IF(J198="","",IF(J198&lt;&gt;"OK","Fix row",IF(C198="Sale",K198-E198*H198,0)))</x:f>
      </x:c>
    </x:row>
    <x:row r="199" ht="27" customHeight="1">
      <x:c r="A199" s="40"/>
      <x:c r="B199" s="41"/>
      <x:c r="C199" s="41"/>
      <x:c r="D199" s="41"/>
      <x:c r="E199" s="41"/>
      <x:c r="F199" s="42"/>
      <x:c r="G199" s="42"/>
      <x:c r="H199" s="42"/>
      <x:c r="I199" s="41"/>
      <x:c r="J199" s="34" t="str">
        <x:f>IF(COUNTA(A199:I199)=0,"",IF(OR(NOT(ISNUMBER(A199)),B199="",AND(C199&lt;&gt;"Sale",C199&lt;&gt;"Purchase",C199&lt;&gt;"Adjustment"),COUNTIFS(Products!$A$6:$A$105,D199)&lt;&gt;1,NOT(ISNUMBER(E199)),E199=0,AND(C199&lt;&gt;"Adjustment",E199&lt;0)),"Check inputs",IF(AND(C199="Sale",OR(NOT(ISNUMBER(F199)),NOT(ISNUMBER(G199)),NOT(ISNUMBER(H199)),F199&lt;0,G199&lt;0,H199&lt;0,G199&gt;E199*F199)),"Check sale amounts","OK")))</x:f>
      </x:c>
      <x:c r="K199" s="35" t="str">
        <x:f>IF(J199="","",IF(J199&lt;&gt;"OK","Fix row",IF(C199="Sale",E199*F199-G199,0)))</x:f>
      </x:c>
      <x:c r="L199" s="35" t="str">
        <x:f>IF(J199="","",IF(J199&lt;&gt;"OK","Fix row",IF(C199="Sale",K199-E199*H199,0)))</x:f>
      </x:c>
    </x:row>
    <x:row r="200" ht="27" customHeight="1">
      <x:c r="A200" s="40"/>
      <x:c r="B200" s="41"/>
      <x:c r="C200" s="41"/>
      <x:c r="D200" s="41"/>
      <x:c r="E200" s="41"/>
      <x:c r="F200" s="42"/>
      <x:c r="G200" s="42"/>
      <x:c r="H200" s="42"/>
      <x:c r="I200" s="41"/>
      <x:c r="J200" s="37" t="str">
        <x:f>IF(COUNTA(A200:I200)=0,"",IF(OR(NOT(ISNUMBER(A200)),B200="",AND(C200&lt;&gt;"Sale",C200&lt;&gt;"Purchase",C200&lt;&gt;"Adjustment"),COUNTIFS(Products!$A$6:$A$105,D200)&lt;&gt;1,NOT(ISNUMBER(E200)),E200=0,AND(C200&lt;&gt;"Adjustment",E200&lt;0)),"Check inputs",IF(AND(C200="Sale",OR(NOT(ISNUMBER(F200)),NOT(ISNUMBER(G200)),NOT(ISNUMBER(H200)),F200&lt;0,G200&lt;0,H200&lt;0,G200&gt;E200*F200)),"Check sale amounts","OK")))</x:f>
      </x:c>
      <x:c r="K200" s="38" t="str">
        <x:f>IF(J200="","",IF(J200&lt;&gt;"OK","Fix row",IF(C200="Sale",E200*F200-G200,0)))</x:f>
      </x:c>
      <x:c r="L200" s="38" t="str">
        <x:f>IF(J200="","",IF(J200&lt;&gt;"OK","Fix row",IF(C200="Sale",K200-E200*H200,0)))</x:f>
      </x:c>
    </x:row>
    <x:row r="201" ht="27" customHeight="1">
      <x:c r="A201" s="40"/>
      <x:c r="B201" s="41"/>
      <x:c r="C201" s="41"/>
      <x:c r="D201" s="41"/>
      <x:c r="E201" s="41"/>
      <x:c r="F201" s="42"/>
      <x:c r="G201" s="42"/>
      <x:c r="H201" s="42"/>
      <x:c r="I201" s="41"/>
      <x:c r="J201" s="34" t="str">
        <x:f>IF(COUNTA(A201:I201)=0,"",IF(OR(NOT(ISNUMBER(A201)),B201="",AND(C201&lt;&gt;"Sale",C201&lt;&gt;"Purchase",C201&lt;&gt;"Adjustment"),COUNTIFS(Products!$A$6:$A$105,D201)&lt;&gt;1,NOT(ISNUMBER(E201)),E201=0,AND(C201&lt;&gt;"Adjustment",E201&lt;0)),"Check inputs",IF(AND(C201="Sale",OR(NOT(ISNUMBER(F201)),NOT(ISNUMBER(G201)),NOT(ISNUMBER(H201)),F201&lt;0,G201&lt;0,H201&lt;0,G201&gt;E201*F201)),"Check sale amounts","OK")))</x:f>
      </x:c>
      <x:c r="K201" s="35" t="str">
        <x:f>IF(J201="","",IF(J201&lt;&gt;"OK","Fix row",IF(C201="Sale",E201*F201-G201,0)))</x:f>
      </x:c>
      <x:c r="L201" s="35" t="str">
        <x:f>IF(J201="","",IF(J201&lt;&gt;"OK","Fix row",IF(C201="Sale",K201-E201*H201,0)))</x:f>
      </x:c>
    </x:row>
    <x:row r="202" ht="27" customHeight="1">
      <x:c r="A202" s="40"/>
      <x:c r="B202" s="41"/>
      <x:c r="C202" s="41"/>
      <x:c r="D202" s="41"/>
      <x:c r="E202" s="41"/>
      <x:c r="F202" s="42"/>
      <x:c r="G202" s="42"/>
      <x:c r="H202" s="42"/>
      <x:c r="I202" s="41"/>
      <x:c r="J202" s="37" t="str">
        <x:f>IF(COUNTA(A202:I202)=0,"",IF(OR(NOT(ISNUMBER(A202)),B202="",AND(C202&lt;&gt;"Sale",C202&lt;&gt;"Purchase",C202&lt;&gt;"Adjustment"),COUNTIFS(Products!$A$6:$A$105,D202)&lt;&gt;1,NOT(ISNUMBER(E202)),E202=0,AND(C202&lt;&gt;"Adjustment",E202&lt;0)),"Check inputs",IF(AND(C202="Sale",OR(NOT(ISNUMBER(F202)),NOT(ISNUMBER(G202)),NOT(ISNUMBER(H202)),F202&lt;0,G202&lt;0,H202&lt;0,G202&gt;E202*F202)),"Check sale amounts","OK")))</x:f>
      </x:c>
      <x:c r="K202" s="38" t="str">
        <x:f>IF(J202="","",IF(J202&lt;&gt;"OK","Fix row",IF(C202="Sale",E202*F202-G202,0)))</x:f>
      </x:c>
      <x:c r="L202" s="38" t="str">
        <x:f>IF(J202="","",IF(J202&lt;&gt;"OK","Fix row",IF(C202="Sale",K202-E202*H202,0)))</x:f>
      </x:c>
    </x:row>
    <x:row r="203" ht="27" customHeight="1">
      <x:c r="A203" s="40"/>
      <x:c r="B203" s="41"/>
      <x:c r="C203" s="41"/>
      <x:c r="D203" s="41"/>
      <x:c r="E203" s="41"/>
      <x:c r="F203" s="42"/>
      <x:c r="G203" s="42"/>
      <x:c r="H203" s="42"/>
      <x:c r="I203" s="41"/>
      <x:c r="J203" s="34" t="str">
        <x:f>IF(COUNTA(A203:I203)=0,"",IF(OR(NOT(ISNUMBER(A203)),B203="",AND(C203&lt;&gt;"Sale",C203&lt;&gt;"Purchase",C203&lt;&gt;"Adjustment"),COUNTIFS(Products!$A$6:$A$105,D203)&lt;&gt;1,NOT(ISNUMBER(E203)),E203=0,AND(C203&lt;&gt;"Adjustment",E203&lt;0)),"Check inputs",IF(AND(C203="Sale",OR(NOT(ISNUMBER(F203)),NOT(ISNUMBER(G203)),NOT(ISNUMBER(H203)),F203&lt;0,G203&lt;0,H203&lt;0,G203&gt;E203*F203)),"Check sale amounts","OK")))</x:f>
      </x:c>
      <x:c r="K203" s="35" t="str">
        <x:f>IF(J203="","",IF(J203&lt;&gt;"OK","Fix row",IF(C203="Sale",E203*F203-G203,0)))</x:f>
      </x:c>
      <x:c r="L203" s="35" t="str">
        <x:f>IF(J203="","",IF(J203&lt;&gt;"OK","Fix row",IF(C203="Sale",K203-E203*H203,0)))</x:f>
      </x:c>
    </x:row>
    <x:row r="204" ht="27" customHeight="1">
      <x:c r="A204" s="40"/>
      <x:c r="B204" s="41"/>
      <x:c r="C204" s="41"/>
      <x:c r="D204" s="41"/>
      <x:c r="E204" s="41"/>
      <x:c r="F204" s="42"/>
      <x:c r="G204" s="42"/>
      <x:c r="H204" s="42"/>
      <x:c r="I204" s="41"/>
      <x:c r="J204" s="37" t="str">
        <x:f>IF(COUNTA(A204:I204)=0,"",IF(OR(NOT(ISNUMBER(A204)),B204="",AND(C204&lt;&gt;"Sale",C204&lt;&gt;"Purchase",C204&lt;&gt;"Adjustment"),COUNTIFS(Products!$A$6:$A$105,D204)&lt;&gt;1,NOT(ISNUMBER(E204)),E204=0,AND(C204&lt;&gt;"Adjustment",E204&lt;0)),"Check inputs",IF(AND(C204="Sale",OR(NOT(ISNUMBER(F204)),NOT(ISNUMBER(G204)),NOT(ISNUMBER(H204)),F204&lt;0,G204&lt;0,H204&lt;0,G204&gt;E204*F204)),"Check sale amounts","OK")))</x:f>
      </x:c>
      <x:c r="K204" s="38" t="str">
        <x:f>IF(J204="","",IF(J204&lt;&gt;"OK","Fix row",IF(C204="Sale",E204*F204-G204,0)))</x:f>
      </x:c>
      <x:c r="L204" s="38" t="str">
        <x:f>IF(J204="","",IF(J204&lt;&gt;"OK","Fix row",IF(C204="Sale",K204-E204*H204,0)))</x:f>
      </x:c>
    </x:row>
    <x:row r="205" ht="27" customHeight="1">
      <x:c r="A205" s="40"/>
      <x:c r="B205" s="41"/>
      <x:c r="C205" s="41"/>
      <x:c r="D205" s="41"/>
      <x:c r="E205" s="41"/>
      <x:c r="F205" s="42"/>
      <x:c r="G205" s="42"/>
      <x:c r="H205" s="42"/>
      <x:c r="I205" s="41"/>
      <x:c r="J205" s="34" t="str">
        <x:f>IF(COUNTA(A205:I205)=0,"",IF(OR(NOT(ISNUMBER(A205)),B205="",AND(C205&lt;&gt;"Sale",C205&lt;&gt;"Purchase",C205&lt;&gt;"Adjustment"),COUNTIFS(Products!$A$6:$A$105,D205)&lt;&gt;1,NOT(ISNUMBER(E205)),E205=0,AND(C205&lt;&gt;"Adjustment",E205&lt;0)),"Check inputs",IF(AND(C205="Sale",OR(NOT(ISNUMBER(F205)),NOT(ISNUMBER(G205)),NOT(ISNUMBER(H205)),F205&lt;0,G205&lt;0,H205&lt;0,G205&gt;E205*F205)),"Check sale amounts","OK")))</x:f>
      </x:c>
      <x:c r="K205" s="35" t="str">
        <x:f>IF(J205="","",IF(J205&lt;&gt;"OK","Fix row",IF(C205="Sale",E205*F205-G205,0)))</x:f>
      </x:c>
      <x:c r="L205" s="35" t="str">
        <x:f>IF(J205="","",IF(J205&lt;&gt;"OK","Fix row",IF(C205="Sale",K205-E205*H205,0)))</x:f>
      </x:c>
    </x:row>
    <x:row r="206" ht="27" customHeight="1">
      <x:c r="A206" s="40"/>
      <x:c r="B206" s="41"/>
      <x:c r="C206" s="41"/>
      <x:c r="D206" s="41"/>
      <x:c r="E206" s="41"/>
      <x:c r="F206" s="42"/>
      <x:c r="G206" s="42"/>
      <x:c r="H206" s="42"/>
      <x:c r="I206" s="41"/>
      <x:c r="J206" s="37" t="str">
        <x:f>IF(COUNTA(A206:I206)=0,"",IF(OR(NOT(ISNUMBER(A206)),B206="",AND(C206&lt;&gt;"Sale",C206&lt;&gt;"Purchase",C206&lt;&gt;"Adjustment"),COUNTIFS(Products!$A$6:$A$105,D206)&lt;&gt;1,NOT(ISNUMBER(E206)),E206=0,AND(C206&lt;&gt;"Adjustment",E206&lt;0)),"Check inputs",IF(AND(C206="Sale",OR(NOT(ISNUMBER(F206)),NOT(ISNUMBER(G206)),NOT(ISNUMBER(H206)),F206&lt;0,G206&lt;0,H206&lt;0,G206&gt;E206*F206)),"Check sale amounts","OK")))</x:f>
      </x:c>
      <x:c r="K206" s="38" t="str">
        <x:f>IF(J206="","",IF(J206&lt;&gt;"OK","Fix row",IF(C206="Sale",E206*F206-G206,0)))</x:f>
      </x:c>
      <x:c r="L206" s="38" t="str">
        <x:f>IF(J206="","",IF(J206&lt;&gt;"OK","Fix row",IF(C206="Sale",K206-E206*H206,0)))</x:f>
      </x:c>
    </x:row>
    <x:row r="207" ht="27" customHeight="1">
      <x:c r="A207" s="40"/>
      <x:c r="B207" s="41"/>
      <x:c r="C207" s="41"/>
      <x:c r="D207" s="41"/>
      <x:c r="E207" s="41"/>
      <x:c r="F207" s="42"/>
      <x:c r="G207" s="42"/>
      <x:c r="H207" s="42"/>
      <x:c r="I207" s="41"/>
      <x:c r="J207" s="34" t="str">
        <x:f>IF(COUNTA(A207:I207)=0,"",IF(OR(NOT(ISNUMBER(A207)),B207="",AND(C207&lt;&gt;"Sale",C207&lt;&gt;"Purchase",C207&lt;&gt;"Adjustment"),COUNTIFS(Products!$A$6:$A$105,D207)&lt;&gt;1,NOT(ISNUMBER(E207)),E207=0,AND(C207&lt;&gt;"Adjustment",E207&lt;0)),"Check inputs",IF(AND(C207="Sale",OR(NOT(ISNUMBER(F207)),NOT(ISNUMBER(G207)),NOT(ISNUMBER(H207)),F207&lt;0,G207&lt;0,H207&lt;0,G207&gt;E207*F207)),"Check sale amounts","OK")))</x:f>
      </x:c>
      <x:c r="K207" s="35" t="str">
        <x:f>IF(J207="","",IF(J207&lt;&gt;"OK","Fix row",IF(C207="Sale",E207*F207-G207,0)))</x:f>
      </x:c>
      <x:c r="L207" s="35" t="str">
        <x:f>IF(J207="","",IF(J207&lt;&gt;"OK","Fix row",IF(C207="Sale",K207-E207*H207,0)))</x:f>
      </x:c>
    </x:row>
    <x:row r="208" ht="27" customHeight="1">
      <x:c r="A208" s="40"/>
      <x:c r="B208" s="41"/>
      <x:c r="C208" s="41"/>
      <x:c r="D208" s="41"/>
      <x:c r="E208" s="41"/>
      <x:c r="F208" s="42"/>
      <x:c r="G208" s="42"/>
      <x:c r="H208" s="42"/>
      <x:c r="I208" s="41"/>
      <x:c r="J208" s="37" t="str">
        <x:f>IF(COUNTA(A208:I208)=0,"",IF(OR(NOT(ISNUMBER(A208)),B208="",AND(C208&lt;&gt;"Sale",C208&lt;&gt;"Purchase",C208&lt;&gt;"Adjustment"),COUNTIFS(Products!$A$6:$A$105,D208)&lt;&gt;1,NOT(ISNUMBER(E208)),E208=0,AND(C208&lt;&gt;"Adjustment",E208&lt;0)),"Check inputs",IF(AND(C208="Sale",OR(NOT(ISNUMBER(F208)),NOT(ISNUMBER(G208)),NOT(ISNUMBER(H208)),F208&lt;0,G208&lt;0,H208&lt;0,G208&gt;E208*F208)),"Check sale amounts","OK")))</x:f>
      </x:c>
      <x:c r="K208" s="38" t="str">
        <x:f>IF(J208="","",IF(J208&lt;&gt;"OK","Fix row",IF(C208="Sale",E208*F208-G208,0)))</x:f>
      </x:c>
      <x:c r="L208" s="38" t="str">
        <x:f>IF(J208="","",IF(J208&lt;&gt;"OK","Fix row",IF(C208="Sale",K208-E208*H208,0)))</x:f>
      </x:c>
    </x:row>
    <x:row r="209" ht="27" customHeight="1">
      <x:c r="A209" s="40"/>
      <x:c r="B209" s="41"/>
      <x:c r="C209" s="41"/>
      <x:c r="D209" s="41"/>
      <x:c r="E209" s="41"/>
      <x:c r="F209" s="42"/>
      <x:c r="G209" s="42"/>
      <x:c r="H209" s="42"/>
      <x:c r="I209" s="41"/>
      <x:c r="J209" s="34" t="str">
        <x:f>IF(COUNTA(A209:I209)=0,"",IF(OR(NOT(ISNUMBER(A209)),B209="",AND(C209&lt;&gt;"Sale",C209&lt;&gt;"Purchase",C209&lt;&gt;"Adjustment"),COUNTIFS(Products!$A$6:$A$105,D209)&lt;&gt;1,NOT(ISNUMBER(E209)),E209=0,AND(C209&lt;&gt;"Adjustment",E209&lt;0)),"Check inputs",IF(AND(C209="Sale",OR(NOT(ISNUMBER(F209)),NOT(ISNUMBER(G209)),NOT(ISNUMBER(H209)),F209&lt;0,G209&lt;0,H209&lt;0,G209&gt;E209*F209)),"Check sale amounts","OK")))</x:f>
      </x:c>
      <x:c r="K209" s="35" t="str">
        <x:f>IF(J209="","",IF(J209&lt;&gt;"OK","Fix row",IF(C209="Sale",E209*F209-G209,0)))</x:f>
      </x:c>
      <x:c r="L209" s="35" t="str">
        <x:f>IF(J209="","",IF(J209&lt;&gt;"OK","Fix row",IF(C209="Sale",K209-E209*H209,0)))</x:f>
      </x:c>
    </x:row>
    <x:row r="210" ht="27" customHeight="1">
      <x:c r="A210" s="40"/>
      <x:c r="B210" s="41"/>
      <x:c r="C210" s="41"/>
      <x:c r="D210" s="41"/>
      <x:c r="E210" s="41"/>
      <x:c r="F210" s="42"/>
      <x:c r="G210" s="42"/>
      <x:c r="H210" s="42"/>
      <x:c r="I210" s="41"/>
      <x:c r="J210" s="37" t="str">
        <x:f>IF(COUNTA(A210:I210)=0,"",IF(OR(NOT(ISNUMBER(A210)),B210="",AND(C210&lt;&gt;"Sale",C210&lt;&gt;"Purchase",C210&lt;&gt;"Adjustment"),COUNTIFS(Products!$A$6:$A$105,D210)&lt;&gt;1,NOT(ISNUMBER(E210)),E210=0,AND(C210&lt;&gt;"Adjustment",E210&lt;0)),"Check inputs",IF(AND(C210="Sale",OR(NOT(ISNUMBER(F210)),NOT(ISNUMBER(G210)),NOT(ISNUMBER(H210)),F210&lt;0,G210&lt;0,H210&lt;0,G210&gt;E210*F210)),"Check sale amounts","OK")))</x:f>
      </x:c>
      <x:c r="K210" s="38" t="str">
        <x:f>IF(J210="","",IF(J210&lt;&gt;"OK","Fix row",IF(C210="Sale",E210*F210-G210,0)))</x:f>
      </x:c>
      <x:c r="L210" s="38" t="str">
        <x:f>IF(J210="","",IF(J210&lt;&gt;"OK","Fix row",IF(C210="Sale",K210-E210*H210,0)))</x:f>
      </x:c>
    </x:row>
    <x:row r="211" ht="27" customHeight="1">
      <x:c r="A211" s="40"/>
      <x:c r="B211" s="41"/>
      <x:c r="C211" s="41"/>
      <x:c r="D211" s="41"/>
      <x:c r="E211" s="41"/>
      <x:c r="F211" s="42"/>
      <x:c r="G211" s="42"/>
      <x:c r="H211" s="42"/>
      <x:c r="I211" s="41"/>
      <x:c r="J211" s="34" t="str">
        <x:f>IF(COUNTA(A211:I211)=0,"",IF(OR(NOT(ISNUMBER(A211)),B211="",AND(C211&lt;&gt;"Sale",C211&lt;&gt;"Purchase",C211&lt;&gt;"Adjustment"),COUNTIFS(Products!$A$6:$A$105,D211)&lt;&gt;1,NOT(ISNUMBER(E211)),E211=0,AND(C211&lt;&gt;"Adjustment",E211&lt;0)),"Check inputs",IF(AND(C211="Sale",OR(NOT(ISNUMBER(F211)),NOT(ISNUMBER(G211)),NOT(ISNUMBER(H211)),F211&lt;0,G211&lt;0,H211&lt;0,G211&gt;E211*F211)),"Check sale amounts","OK")))</x:f>
      </x:c>
      <x:c r="K211" s="35" t="str">
        <x:f>IF(J211="","",IF(J211&lt;&gt;"OK","Fix row",IF(C211="Sale",E211*F211-G211,0)))</x:f>
      </x:c>
      <x:c r="L211" s="35" t="str">
        <x:f>IF(J211="","",IF(J211&lt;&gt;"OK","Fix row",IF(C211="Sale",K211-E211*H211,0)))</x:f>
      </x:c>
    </x:row>
    <x:row r="212" ht="27" customHeight="1">
      <x:c r="A212" s="40"/>
      <x:c r="B212" s="41"/>
      <x:c r="C212" s="41"/>
      <x:c r="D212" s="41"/>
      <x:c r="E212" s="41"/>
      <x:c r="F212" s="42"/>
      <x:c r="G212" s="42"/>
      <x:c r="H212" s="42"/>
      <x:c r="I212" s="41"/>
      <x:c r="J212" s="37" t="str">
        <x:f>IF(COUNTA(A212:I212)=0,"",IF(OR(NOT(ISNUMBER(A212)),B212="",AND(C212&lt;&gt;"Sale",C212&lt;&gt;"Purchase",C212&lt;&gt;"Adjustment"),COUNTIFS(Products!$A$6:$A$105,D212)&lt;&gt;1,NOT(ISNUMBER(E212)),E212=0,AND(C212&lt;&gt;"Adjustment",E212&lt;0)),"Check inputs",IF(AND(C212="Sale",OR(NOT(ISNUMBER(F212)),NOT(ISNUMBER(G212)),NOT(ISNUMBER(H212)),F212&lt;0,G212&lt;0,H212&lt;0,G212&gt;E212*F212)),"Check sale amounts","OK")))</x:f>
      </x:c>
      <x:c r="K212" s="38" t="str">
        <x:f>IF(J212="","",IF(J212&lt;&gt;"OK","Fix row",IF(C212="Sale",E212*F212-G212,0)))</x:f>
      </x:c>
      <x:c r="L212" s="38" t="str">
        <x:f>IF(J212="","",IF(J212&lt;&gt;"OK","Fix row",IF(C212="Sale",K212-E212*H212,0)))</x:f>
      </x:c>
    </x:row>
    <x:row r="213" ht="27" customHeight="1">
      <x:c r="A213" s="40"/>
      <x:c r="B213" s="41"/>
      <x:c r="C213" s="41"/>
      <x:c r="D213" s="41"/>
      <x:c r="E213" s="41"/>
      <x:c r="F213" s="42"/>
      <x:c r="G213" s="42"/>
      <x:c r="H213" s="42"/>
      <x:c r="I213" s="41"/>
      <x:c r="J213" s="34" t="str">
        <x:f>IF(COUNTA(A213:I213)=0,"",IF(OR(NOT(ISNUMBER(A213)),B213="",AND(C213&lt;&gt;"Sale",C213&lt;&gt;"Purchase",C213&lt;&gt;"Adjustment"),COUNTIFS(Products!$A$6:$A$105,D213)&lt;&gt;1,NOT(ISNUMBER(E213)),E213=0,AND(C213&lt;&gt;"Adjustment",E213&lt;0)),"Check inputs",IF(AND(C213="Sale",OR(NOT(ISNUMBER(F213)),NOT(ISNUMBER(G213)),NOT(ISNUMBER(H213)),F213&lt;0,G213&lt;0,H213&lt;0,G213&gt;E213*F213)),"Check sale amounts","OK")))</x:f>
      </x:c>
      <x:c r="K213" s="35" t="str">
        <x:f>IF(J213="","",IF(J213&lt;&gt;"OK","Fix row",IF(C213="Sale",E213*F213-G213,0)))</x:f>
      </x:c>
      <x:c r="L213" s="35" t="str">
        <x:f>IF(J213="","",IF(J213&lt;&gt;"OK","Fix row",IF(C213="Sale",K213-E213*H213,0)))</x:f>
      </x:c>
    </x:row>
    <x:row r="214" ht="27" customHeight="1">
      <x:c r="A214" s="40"/>
      <x:c r="B214" s="41"/>
      <x:c r="C214" s="41"/>
      <x:c r="D214" s="41"/>
      <x:c r="E214" s="41"/>
      <x:c r="F214" s="42"/>
      <x:c r="G214" s="42"/>
      <x:c r="H214" s="42"/>
      <x:c r="I214" s="41"/>
      <x:c r="J214" s="37" t="str">
        <x:f>IF(COUNTA(A214:I214)=0,"",IF(OR(NOT(ISNUMBER(A214)),B214="",AND(C214&lt;&gt;"Sale",C214&lt;&gt;"Purchase",C214&lt;&gt;"Adjustment"),COUNTIFS(Products!$A$6:$A$105,D214)&lt;&gt;1,NOT(ISNUMBER(E214)),E214=0,AND(C214&lt;&gt;"Adjustment",E214&lt;0)),"Check inputs",IF(AND(C214="Sale",OR(NOT(ISNUMBER(F214)),NOT(ISNUMBER(G214)),NOT(ISNUMBER(H214)),F214&lt;0,G214&lt;0,H214&lt;0,G214&gt;E214*F214)),"Check sale amounts","OK")))</x:f>
      </x:c>
      <x:c r="K214" s="38" t="str">
        <x:f>IF(J214="","",IF(J214&lt;&gt;"OK","Fix row",IF(C214="Sale",E214*F214-G214,0)))</x:f>
      </x:c>
      <x:c r="L214" s="38" t="str">
        <x:f>IF(J214="","",IF(J214&lt;&gt;"OK","Fix row",IF(C214="Sale",K214-E214*H214,0)))</x:f>
      </x:c>
    </x:row>
    <x:row r="215" ht="27" customHeight="1">
      <x:c r="A215" s="40"/>
      <x:c r="B215" s="41"/>
      <x:c r="C215" s="41"/>
      <x:c r="D215" s="41"/>
      <x:c r="E215" s="41"/>
      <x:c r="F215" s="42"/>
      <x:c r="G215" s="42"/>
      <x:c r="H215" s="42"/>
      <x:c r="I215" s="41"/>
      <x:c r="J215" s="34" t="str">
        <x:f>IF(COUNTA(A215:I215)=0,"",IF(OR(NOT(ISNUMBER(A215)),B215="",AND(C215&lt;&gt;"Sale",C215&lt;&gt;"Purchase",C215&lt;&gt;"Adjustment"),COUNTIFS(Products!$A$6:$A$105,D215)&lt;&gt;1,NOT(ISNUMBER(E215)),E215=0,AND(C215&lt;&gt;"Adjustment",E215&lt;0)),"Check inputs",IF(AND(C215="Sale",OR(NOT(ISNUMBER(F215)),NOT(ISNUMBER(G215)),NOT(ISNUMBER(H215)),F215&lt;0,G215&lt;0,H215&lt;0,G215&gt;E215*F215)),"Check sale amounts","OK")))</x:f>
      </x:c>
      <x:c r="K215" s="35" t="str">
        <x:f>IF(J215="","",IF(J215&lt;&gt;"OK","Fix row",IF(C215="Sale",E215*F215-G215,0)))</x:f>
      </x:c>
      <x:c r="L215" s="35" t="str">
        <x:f>IF(J215="","",IF(J215&lt;&gt;"OK","Fix row",IF(C215="Sale",K215-E215*H215,0)))</x:f>
      </x:c>
    </x:row>
    <x:row r="216" ht="27" customHeight="1">
      <x:c r="A216" s="40"/>
      <x:c r="B216" s="41"/>
      <x:c r="C216" s="41"/>
      <x:c r="D216" s="41"/>
      <x:c r="E216" s="41"/>
      <x:c r="F216" s="42"/>
      <x:c r="G216" s="42"/>
      <x:c r="H216" s="42"/>
      <x:c r="I216" s="41"/>
      <x:c r="J216" s="37" t="str">
        <x:f>IF(COUNTA(A216:I216)=0,"",IF(OR(NOT(ISNUMBER(A216)),B216="",AND(C216&lt;&gt;"Sale",C216&lt;&gt;"Purchase",C216&lt;&gt;"Adjustment"),COUNTIFS(Products!$A$6:$A$105,D216)&lt;&gt;1,NOT(ISNUMBER(E216)),E216=0,AND(C216&lt;&gt;"Adjustment",E216&lt;0)),"Check inputs",IF(AND(C216="Sale",OR(NOT(ISNUMBER(F216)),NOT(ISNUMBER(G216)),NOT(ISNUMBER(H216)),F216&lt;0,G216&lt;0,H216&lt;0,G216&gt;E216*F216)),"Check sale amounts","OK")))</x:f>
      </x:c>
      <x:c r="K216" s="38" t="str">
        <x:f>IF(J216="","",IF(J216&lt;&gt;"OK","Fix row",IF(C216="Sale",E216*F216-G216,0)))</x:f>
      </x:c>
      <x:c r="L216" s="38" t="str">
        <x:f>IF(J216="","",IF(J216&lt;&gt;"OK","Fix row",IF(C216="Sale",K216-E216*H216,0)))</x:f>
      </x:c>
    </x:row>
    <x:row r="217" ht="27" customHeight="1">
      <x:c r="A217" s="40"/>
      <x:c r="B217" s="41"/>
      <x:c r="C217" s="41"/>
      <x:c r="D217" s="41"/>
      <x:c r="E217" s="41"/>
      <x:c r="F217" s="42"/>
      <x:c r="G217" s="42"/>
      <x:c r="H217" s="42"/>
      <x:c r="I217" s="41"/>
      <x:c r="J217" s="34" t="str">
        <x:f>IF(COUNTA(A217:I217)=0,"",IF(OR(NOT(ISNUMBER(A217)),B217="",AND(C217&lt;&gt;"Sale",C217&lt;&gt;"Purchase",C217&lt;&gt;"Adjustment"),COUNTIFS(Products!$A$6:$A$105,D217)&lt;&gt;1,NOT(ISNUMBER(E217)),E217=0,AND(C217&lt;&gt;"Adjustment",E217&lt;0)),"Check inputs",IF(AND(C217="Sale",OR(NOT(ISNUMBER(F217)),NOT(ISNUMBER(G217)),NOT(ISNUMBER(H217)),F217&lt;0,G217&lt;0,H217&lt;0,G217&gt;E217*F217)),"Check sale amounts","OK")))</x:f>
      </x:c>
      <x:c r="K217" s="35" t="str">
        <x:f>IF(J217="","",IF(J217&lt;&gt;"OK","Fix row",IF(C217="Sale",E217*F217-G217,0)))</x:f>
      </x:c>
      <x:c r="L217" s="35" t="str">
        <x:f>IF(J217="","",IF(J217&lt;&gt;"OK","Fix row",IF(C217="Sale",K217-E217*H217,0)))</x:f>
      </x:c>
    </x:row>
    <x:row r="218" ht="27" customHeight="1">
      <x:c r="A218" s="40"/>
      <x:c r="B218" s="41"/>
      <x:c r="C218" s="41"/>
      <x:c r="D218" s="41"/>
      <x:c r="E218" s="41"/>
      <x:c r="F218" s="42"/>
      <x:c r="G218" s="42"/>
      <x:c r="H218" s="42"/>
      <x:c r="I218" s="41"/>
      <x:c r="J218" s="37" t="str">
        <x:f>IF(COUNTA(A218:I218)=0,"",IF(OR(NOT(ISNUMBER(A218)),B218="",AND(C218&lt;&gt;"Sale",C218&lt;&gt;"Purchase",C218&lt;&gt;"Adjustment"),COUNTIFS(Products!$A$6:$A$105,D218)&lt;&gt;1,NOT(ISNUMBER(E218)),E218=0,AND(C218&lt;&gt;"Adjustment",E218&lt;0)),"Check inputs",IF(AND(C218="Sale",OR(NOT(ISNUMBER(F218)),NOT(ISNUMBER(G218)),NOT(ISNUMBER(H218)),F218&lt;0,G218&lt;0,H218&lt;0,G218&gt;E218*F218)),"Check sale amounts","OK")))</x:f>
      </x:c>
      <x:c r="K218" s="38" t="str">
        <x:f>IF(J218="","",IF(J218&lt;&gt;"OK","Fix row",IF(C218="Sale",E218*F218-G218,0)))</x:f>
      </x:c>
      <x:c r="L218" s="38" t="str">
        <x:f>IF(J218="","",IF(J218&lt;&gt;"OK","Fix row",IF(C218="Sale",K218-E218*H218,0)))</x:f>
      </x:c>
    </x:row>
    <x:row r="219" ht="27" customHeight="1">
      <x:c r="A219" s="40"/>
      <x:c r="B219" s="41"/>
      <x:c r="C219" s="41"/>
      <x:c r="D219" s="41"/>
      <x:c r="E219" s="41"/>
      <x:c r="F219" s="42"/>
      <x:c r="G219" s="42"/>
      <x:c r="H219" s="42"/>
      <x:c r="I219" s="41"/>
      <x:c r="J219" s="34" t="str">
        <x:f>IF(COUNTA(A219:I219)=0,"",IF(OR(NOT(ISNUMBER(A219)),B219="",AND(C219&lt;&gt;"Sale",C219&lt;&gt;"Purchase",C219&lt;&gt;"Adjustment"),COUNTIFS(Products!$A$6:$A$105,D219)&lt;&gt;1,NOT(ISNUMBER(E219)),E219=0,AND(C219&lt;&gt;"Adjustment",E219&lt;0)),"Check inputs",IF(AND(C219="Sale",OR(NOT(ISNUMBER(F219)),NOT(ISNUMBER(G219)),NOT(ISNUMBER(H219)),F219&lt;0,G219&lt;0,H219&lt;0,G219&gt;E219*F219)),"Check sale amounts","OK")))</x:f>
      </x:c>
      <x:c r="K219" s="35" t="str">
        <x:f>IF(J219="","",IF(J219&lt;&gt;"OK","Fix row",IF(C219="Sale",E219*F219-G219,0)))</x:f>
      </x:c>
      <x:c r="L219" s="35" t="str">
        <x:f>IF(J219="","",IF(J219&lt;&gt;"OK","Fix row",IF(C219="Sale",K219-E219*H219,0)))</x:f>
      </x:c>
    </x:row>
    <x:row r="220" ht="27" customHeight="1">
      <x:c r="A220" s="40"/>
      <x:c r="B220" s="41"/>
      <x:c r="C220" s="41"/>
      <x:c r="D220" s="41"/>
      <x:c r="E220" s="41"/>
      <x:c r="F220" s="42"/>
      <x:c r="G220" s="42"/>
      <x:c r="H220" s="42"/>
      <x:c r="I220" s="41"/>
      <x:c r="J220" s="37" t="str">
        <x:f>IF(COUNTA(A220:I220)=0,"",IF(OR(NOT(ISNUMBER(A220)),B220="",AND(C220&lt;&gt;"Sale",C220&lt;&gt;"Purchase",C220&lt;&gt;"Adjustment"),COUNTIFS(Products!$A$6:$A$105,D220)&lt;&gt;1,NOT(ISNUMBER(E220)),E220=0,AND(C220&lt;&gt;"Adjustment",E220&lt;0)),"Check inputs",IF(AND(C220="Sale",OR(NOT(ISNUMBER(F220)),NOT(ISNUMBER(G220)),NOT(ISNUMBER(H220)),F220&lt;0,G220&lt;0,H220&lt;0,G220&gt;E220*F220)),"Check sale amounts","OK")))</x:f>
      </x:c>
      <x:c r="K220" s="38" t="str">
        <x:f>IF(J220="","",IF(J220&lt;&gt;"OK","Fix row",IF(C220="Sale",E220*F220-G220,0)))</x:f>
      </x:c>
      <x:c r="L220" s="38" t="str">
        <x:f>IF(J220="","",IF(J220&lt;&gt;"OK","Fix row",IF(C220="Sale",K220-E220*H220,0)))</x:f>
      </x:c>
    </x:row>
    <x:row r="221" ht="27" customHeight="1">
      <x:c r="A221" s="40"/>
      <x:c r="B221" s="41"/>
      <x:c r="C221" s="41"/>
      <x:c r="D221" s="41"/>
      <x:c r="E221" s="41"/>
      <x:c r="F221" s="42"/>
      <x:c r="G221" s="42"/>
      <x:c r="H221" s="42"/>
      <x:c r="I221" s="41"/>
      <x:c r="J221" s="34" t="str">
        <x:f>IF(COUNTA(A221:I221)=0,"",IF(OR(NOT(ISNUMBER(A221)),B221="",AND(C221&lt;&gt;"Sale",C221&lt;&gt;"Purchase",C221&lt;&gt;"Adjustment"),COUNTIFS(Products!$A$6:$A$105,D221)&lt;&gt;1,NOT(ISNUMBER(E221)),E221=0,AND(C221&lt;&gt;"Adjustment",E221&lt;0)),"Check inputs",IF(AND(C221="Sale",OR(NOT(ISNUMBER(F221)),NOT(ISNUMBER(G221)),NOT(ISNUMBER(H221)),F221&lt;0,G221&lt;0,H221&lt;0,G221&gt;E221*F221)),"Check sale amounts","OK")))</x:f>
      </x:c>
      <x:c r="K221" s="35" t="str">
        <x:f>IF(J221="","",IF(J221&lt;&gt;"OK","Fix row",IF(C221="Sale",E221*F221-G221,0)))</x:f>
      </x:c>
      <x:c r="L221" s="35" t="str">
        <x:f>IF(J221="","",IF(J221&lt;&gt;"OK","Fix row",IF(C221="Sale",K221-E221*H221,0)))</x:f>
      </x:c>
    </x:row>
    <x:row r="222" ht="27" customHeight="1">
      <x:c r="A222" s="40"/>
      <x:c r="B222" s="41"/>
      <x:c r="C222" s="41"/>
      <x:c r="D222" s="41"/>
      <x:c r="E222" s="41"/>
      <x:c r="F222" s="42"/>
      <x:c r="G222" s="42"/>
      <x:c r="H222" s="42"/>
      <x:c r="I222" s="41"/>
      <x:c r="J222" s="37" t="str">
        <x:f>IF(COUNTA(A222:I222)=0,"",IF(OR(NOT(ISNUMBER(A222)),B222="",AND(C222&lt;&gt;"Sale",C222&lt;&gt;"Purchase",C222&lt;&gt;"Adjustment"),COUNTIFS(Products!$A$6:$A$105,D222)&lt;&gt;1,NOT(ISNUMBER(E222)),E222=0,AND(C222&lt;&gt;"Adjustment",E222&lt;0)),"Check inputs",IF(AND(C222="Sale",OR(NOT(ISNUMBER(F222)),NOT(ISNUMBER(G222)),NOT(ISNUMBER(H222)),F222&lt;0,G222&lt;0,H222&lt;0,G222&gt;E222*F222)),"Check sale amounts","OK")))</x:f>
      </x:c>
      <x:c r="K222" s="38" t="str">
        <x:f>IF(J222="","",IF(J222&lt;&gt;"OK","Fix row",IF(C222="Sale",E222*F222-G222,0)))</x:f>
      </x:c>
      <x:c r="L222" s="38" t="str">
        <x:f>IF(J222="","",IF(J222&lt;&gt;"OK","Fix row",IF(C222="Sale",K222-E222*H222,0)))</x:f>
      </x:c>
    </x:row>
    <x:row r="223" ht="27" customHeight="1">
      <x:c r="A223" s="40"/>
      <x:c r="B223" s="41"/>
      <x:c r="C223" s="41"/>
      <x:c r="D223" s="41"/>
      <x:c r="E223" s="41"/>
      <x:c r="F223" s="42"/>
      <x:c r="G223" s="42"/>
      <x:c r="H223" s="42"/>
      <x:c r="I223" s="41"/>
      <x:c r="J223" s="34" t="str">
        <x:f>IF(COUNTA(A223:I223)=0,"",IF(OR(NOT(ISNUMBER(A223)),B223="",AND(C223&lt;&gt;"Sale",C223&lt;&gt;"Purchase",C223&lt;&gt;"Adjustment"),COUNTIFS(Products!$A$6:$A$105,D223)&lt;&gt;1,NOT(ISNUMBER(E223)),E223=0,AND(C223&lt;&gt;"Adjustment",E223&lt;0)),"Check inputs",IF(AND(C223="Sale",OR(NOT(ISNUMBER(F223)),NOT(ISNUMBER(G223)),NOT(ISNUMBER(H223)),F223&lt;0,G223&lt;0,H223&lt;0,G223&gt;E223*F223)),"Check sale amounts","OK")))</x:f>
      </x:c>
      <x:c r="K223" s="35" t="str">
        <x:f>IF(J223="","",IF(J223&lt;&gt;"OK","Fix row",IF(C223="Sale",E223*F223-G223,0)))</x:f>
      </x:c>
      <x:c r="L223" s="35" t="str">
        <x:f>IF(J223="","",IF(J223&lt;&gt;"OK","Fix row",IF(C223="Sale",K223-E223*H223,0)))</x:f>
      </x:c>
    </x:row>
    <x:row r="224" ht="27" customHeight="1">
      <x:c r="A224" s="40"/>
      <x:c r="B224" s="41"/>
      <x:c r="C224" s="41"/>
      <x:c r="D224" s="41"/>
      <x:c r="E224" s="41"/>
      <x:c r="F224" s="42"/>
      <x:c r="G224" s="42"/>
      <x:c r="H224" s="42"/>
      <x:c r="I224" s="41"/>
      <x:c r="J224" s="37" t="str">
        <x:f>IF(COUNTA(A224:I224)=0,"",IF(OR(NOT(ISNUMBER(A224)),B224="",AND(C224&lt;&gt;"Sale",C224&lt;&gt;"Purchase",C224&lt;&gt;"Adjustment"),COUNTIFS(Products!$A$6:$A$105,D224)&lt;&gt;1,NOT(ISNUMBER(E224)),E224=0,AND(C224&lt;&gt;"Adjustment",E224&lt;0)),"Check inputs",IF(AND(C224="Sale",OR(NOT(ISNUMBER(F224)),NOT(ISNUMBER(G224)),NOT(ISNUMBER(H224)),F224&lt;0,G224&lt;0,H224&lt;0,G224&gt;E224*F224)),"Check sale amounts","OK")))</x:f>
      </x:c>
      <x:c r="K224" s="38" t="str">
        <x:f>IF(J224="","",IF(J224&lt;&gt;"OK","Fix row",IF(C224="Sale",E224*F224-G224,0)))</x:f>
      </x:c>
      <x:c r="L224" s="38" t="str">
        <x:f>IF(J224="","",IF(J224&lt;&gt;"OK","Fix row",IF(C224="Sale",K224-E224*H224,0)))</x:f>
      </x:c>
    </x:row>
    <x:row r="225" ht="27" customHeight="1">
      <x:c r="A225" s="40"/>
      <x:c r="B225" s="41"/>
      <x:c r="C225" s="41"/>
      <x:c r="D225" s="41"/>
      <x:c r="E225" s="41"/>
      <x:c r="F225" s="42"/>
      <x:c r="G225" s="42"/>
      <x:c r="H225" s="42"/>
      <x:c r="I225" s="41"/>
      <x:c r="J225" s="34" t="str">
        <x:f>IF(COUNTA(A225:I225)=0,"",IF(OR(NOT(ISNUMBER(A225)),B225="",AND(C225&lt;&gt;"Sale",C225&lt;&gt;"Purchase",C225&lt;&gt;"Adjustment"),COUNTIFS(Products!$A$6:$A$105,D225)&lt;&gt;1,NOT(ISNUMBER(E225)),E225=0,AND(C225&lt;&gt;"Adjustment",E225&lt;0)),"Check inputs",IF(AND(C225="Sale",OR(NOT(ISNUMBER(F225)),NOT(ISNUMBER(G225)),NOT(ISNUMBER(H225)),F225&lt;0,G225&lt;0,H225&lt;0,G225&gt;E225*F225)),"Check sale amounts","OK")))</x:f>
      </x:c>
      <x:c r="K225" s="35" t="str">
        <x:f>IF(J225="","",IF(J225&lt;&gt;"OK","Fix row",IF(C225="Sale",E225*F225-G225,0)))</x:f>
      </x:c>
      <x:c r="L225" s="35" t="str">
        <x:f>IF(J225="","",IF(J225&lt;&gt;"OK","Fix row",IF(C225="Sale",K225-E225*H225,0)))</x:f>
      </x:c>
    </x:row>
    <x:row r="226" ht="27" customHeight="1">
      <x:c r="A226" s="40"/>
      <x:c r="B226" s="41"/>
      <x:c r="C226" s="41"/>
      <x:c r="D226" s="41"/>
      <x:c r="E226" s="41"/>
      <x:c r="F226" s="42"/>
      <x:c r="G226" s="42"/>
      <x:c r="H226" s="42"/>
      <x:c r="I226" s="41"/>
      <x:c r="J226" s="37" t="str">
        <x:f>IF(COUNTA(A226:I226)=0,"",IF(OR(NOT(ISNUMBER(A226)),B226="",AND(C226&lt;&gt;"Sale",C226&lt;&gt;"Purchase",C226&lt;&gt;"Adjustment"),COUNTIFS(Products!$A$6:$A$105,D226)&lt;&gt;1,NOT(ISNUMBER(E226)),E226=0,AND(C226&lt;&gt;"Adjustment",E226&lt;0)),"Check inputs",IF(AND(C226="Sale",OR(NOT(ISNUMBER(F226)),NOT(ISNUMBER(G226)),NOT(ISNUMBER(H226)),F226&lt;0,G226&lt;0,H226&lt;0,G226&gt;E226*F226)),"Check sale amounts","OK")))</x:f>
      </x:c>
      <x:c r="K226" s="38" t="str">
        <x:f>IF(J226="","",IF(J226&lt;&gt;"OK","Fix row",IF(C226="Sale",E226*F226-G226,0)))</x:f>
      </x:c>
      <x:c r="L226" s="38" t="str">
        <x:f>IF(J226="","",IF(J226&lt;&gt;"OK","Fix row",IF(C226="Sale",K226-E226*H226,0)))</x:f>
      </x:c>
    </x:row>
    <x:row r="227" ht="27" customHeight="1">
      <x:c r="A227" s="40"/>
      <x:c r="B227" s="41"/>
      <x:c r="C227" s="41"/>
      <x:c r="D227" s="41"/>
      <x:c r="E227" s="41"/>
      <x:c r="F227" s="42"/>
      <x:c r="G227" s="42"/>
      <x:c r="H227" s="42"/>
      <x:c r="I227" s="41"/>
      <x:c r="J227" s="34" t="str">
        <x:f>IF(COUNTA(A227:I227)=0,"",IF(OR(NOT(ISNUMBER(A227)),B227="",AND(C227&lt;&gt;"Sale",C227&lt;&gt;"Purchase",C227&lt;&gt;"Adjustment"),COUNTIFS(Products!$A$6:$A$105,D227)&lt;&gt;1,NOT(ISNUMBER(E227)),E227=0,AND(C227&lt;&gt;"Adjustment",E227&lt;0)),"Check inputs",IF(AND(C227="Sale",OR(NOT(ISNUMBER(F227)),NOT(ISNUMBER(G227)),NOT(ISNUMBER(H227)),F227&lt;0,G227&lt;0,H227&lt;0,G227&gt;E227*F227)),"Check sale amounts","OK")))</x:f>
      </x:c>
      <x:c r="K227" s="35" t="str">
        <x:f>IF(J227="","",IF(J227&lt;&gt;"OK","Fix row",IF(C227="Sale",E227*F227-G227,0)))</x:f>
      </x:c>
      <x:c r="L227" s="35" t="str">
        <x:f>IF(J227="","",IF(J227&lt;&gt;"OK","Fix row",IF(C227="Sale",K227-E227*H227,0)))</x:f>
      </x:c>
    </x:row>
    <x:row r="228" ht="27" customHeight="1">
      <x:c r="A228" s="40"/>
      <x:c r="B228" s="41"/>
      <x:c r="C228" s="41"/>
      <x:c r="D228" s="41"/>
      <x:c r="E228" s="41"/>
      <x:c r="F228" s="42"/>
      <x:c r="G228" s="42"/>
      <x:c r="H228" s="42"/>
      <x:c r="I228" s="41"/>
      <x:c r="J228" s="37" t="str">
        <x:f>IF(COUNTA(A228:I228)=0,"",IF(OR(NOT(ISNUMBER(A228)),B228="",AND(C228&lt;&gt;"Sale",C228&lt;&gt;"Purchase",C228&lt;&gt;"Adjustment"),COUNTIFS(Products!$A$6:$A$105,D228)&lt;&gt;1,NOT(ISNUMBER(E228)),E228=0,AND(C228&lt;&gt;"Adjustment",E228&lt;0)),"Check inputs",IF(AND(C228="Sale",OR(NOT(ISNUMBER(F228)),NOT(ISNUMBER(G228)),NOT(ISNUMBER(H228)),F228&lt;0,G228&lt;0,H228&lt;0,G228&gt;E228*F228)),"Check sale amounts","OK")))</x:f>
      </x:c>
      <x:c r="K228" s="38" t="str">
        <x:f>IF(J228="","",IF(J228&lt;&gt;"OK","Fix row",IF(C228="Sale",E228*F228-G228,0)))</x:f>
      </x:c>
      <x:c r="L228" s="38" t="str">
        <x:f>IF(J228="","",IF(J228&lt;&gt;"OK","Fix row",IF(C228="Sale",K228-E228*H228,0)))</x:f>
      </x:c>
    </x:row>
    <x:row r="229" ht="27" customHeight="1">
      <x:c r="A229" s="40"/>
      <x:c r="B229" s="41"/>
      <x:c r="C229" s="41"/>
      <x:c r="D229" s="41"/>
      <x:c r="E229" s="41"/>
      <x:c r="F229" s="42"/>
      <x:c r="G229" s="42"/>
      <x:c r="H229" s="42"/>
      <x:c r="I229" s="41"/>
      <x:c r="J229" s="34" t="str">
        <x:f>IF(COUNTA(A229:I229)=0,"",IF(OR(NOT(ISNUMBER(A229)),B229="",AND(C229&lt;&gt;"Sale",C229&lt;&gt;"Purchase",C229&lt;&gt;"Adjustment"),COUNTIFS(Products!$A$6:$A$105,D229)&lt;&gt;1,NOT(ISNUMBER(E229)),E229=0,AND(C229&lt;&gt;"Adjustment",E229&lt;0)),"Check inputs",IF(AND(C229="Sale",OR(NOT(ISNUMBER(F229)),NOT(ISNUMBER(G229)),NOT(ISNUMBER(H229)),F229&lt;0,G229&lt;0,H229&lt;0,G229&gt;E229*F229)),"Check sale amounts","OK")))</x:f>
      </x:c>
      <x:c r="K229" s="35" t="str">
        <x:f>IF(J229="","",IF(J229&lt;&gt;"OK","Fix row",IF(C229="Sale",E229*F229-G229,0)))</x:f>
      </x:c>
      <x:c r="L229" s="35" t="str">
        <x:f>IF(J229="","",IF(J229&lt;&gt;"OK","Fix row",IF(C229="Sale",K229-E229*H229,0)))</x:f>
      </x:c>
    </x:row>
    <x:row r="230" ht="27" customHeight="1">
      <x:c r="A230" s="40"/>
      <x:c r="B230" s="41"/>
      <x:c r="C230" s="41"/>
      <x:c r="D230" s="41"/>
      <x:c r="E230" s="41"/>
      <x:c r="F230" s="42"/>
      <x:c r="G230" s="42"/>
      <x:c r="H230" s="42"/>
      <x:c r="I230" s="41"/>
      <x:c r="J230" s="37" t="str">
        <x:f>IF(COUNTA(A230:I230)=0,"",IF(OR(NOT(ISNUMBER(A230)),B230="",AND(C230&lt;&gt;"Sale",C230&lt;&gt;"Purchase",C230&lt;&gt;"Adjustment"),COUNTIFS(Products!$A$6:$A$105,D230)&lt;&gt;1,NOT(ISNUMBER(E230)),E230=0,AND(C230&lt;&gt;"Adjustment",E230&lt;0)),"Check inputs",IF(AND(C230="Sale",OR(NOT(ISNUMBER(F230)),NOT(ISNUMBER(G230)),NOT(ISNUMBER(H230)),F230&lt;0,G230&lt;0,H230&lt;0,G230&gt;E230*F230)),"Check sale amounts","OK")))</x:f>
      </x:c>
      <x:c r="K230" s="38" t="str">
        <x:f>IF(J230="","",IF(J230&lt;&gt;"OK","Fix row",IF(C230="Sale",E230*F230-G230,0)))</x:f>
      </x:c>
      <x:c r="L230" s="38" t="str">
        <x:f>IF(J230="","",IF(J230&lt;&gt;"OK","Fix row",IF(C230="Sale",K230-E230*H230,0)))</x:f>
      </x:c>
    </x:row>
    <x:row r="231" ht="27" customHeight="1">
      <x:c r="A231" s="40"/>
      <x:c r="B231" s="41"/>
      <x:c r="C231" s="41"/>
      <x:c r="D231" s="41"/>
      <x:c r="E231" s="41"/>
      <x:c r="F231" s="42"/>
      <x:c r="G231" s="42"/>
      <x:c r="H231" s="42"/>
      <x:c r="I231" s="41"/>
      <x:c r="J231" s="34" t="str">
        <x:f>IF(COUNTA(A231:I231)=0,"",IF(OR(NOT(ISNUMBER(A231)),B231="",AND(C231&lt;&gt;"Sale",C231&lt;&gt;"Purchase",C231&lt;&gt;"Adjustment"),COUNTIFS(Products!$A$6:$A$105,D231)&lt;&gt;1,NOT(ISNUMBER(E231)),E231=0,AND(C231&lt;&gt;"Adjustment",E231&lt;0)),"Check inputs",IF(AND(C231="Sale",OR(NOT(ISNUMBER(F231)),NOT(ISNUMBER(G231)),NOT(ISNUMBER(H231)),F231&lt;0,G231&lt;0,H231&lt;0,G231&gt;E231*F231)),"Check sale amounts","OK")))</x:f>
      </x:c>
      <x:c r="K231" s="35" t="str">
        <x:f>IF(J231="","",IF(J231&lt;&gt;"OK","Fix row",IF(C231="Sale",E231*F231-G231,0)))</x:f>
      </x:c>
      <x:c r="L231" s="35" t="str">
        <x:f>IF(J231="","",IF(J231&lt;&gt;"OK","Fix row",IF(C231="Sale",K231-E231*H231,0)))</x:f>
      </x:c>
    </x:row>
    <x:row r="232" ht="27" customHeight="1">
      <x:c r="A232" s="40"/>
      <x:c r="B232" s="41"/>
      <x:c r="C232" s="41"/>
      <x:c r="D232" s="41"/>
      <x:c r="E232" s="41"/>
      <x:c r="F232" s="42"/>
      <x:c r="G232" s="42"/>
      <x:c r="H232" s="42"/>
      <x:c r="I232" s="41"/>
      <x:c r="J232" s="37" t="str">
        <x:f>IF(COUNTA(A232:I232)=0,"",IF(OR(NOT(ISNUMBER(A232)),B232="",AND(C232&lt;&gt;"Sale",C232&lt;&gt;"Purchase",C232&lt;&gt;"Adjustment"),COUNTIFS(Products!$A$6:$A$105,D232)&lt;&gt;1,NOT(ISNUMBER(E232)),E232=0,AND(C232&lt;&gt;"Adjustment",E232&lt;0)),"Check inputs",IF(AND(C232="Sale",OR(NOT(ISNUMBER(F232)),NOT(ISNUMBER(G232)),NOT(ISNUMBER(H232)),F232&lt;0,G232&lt;0,H232&lt;0,G232&gt;E232*F232)),"Check sale amounts","OK")))</x:f>
      </x:c>
      <x:c r="K232" s="38" t="str">
        <x:f>IF(J232="","",IF(J232&lt;&gt;"OK","Fix row",IF(C232="Sale",E232*F232-G232,0)))</x:f>
      </x:c>
      <x:c r="L232" s="38" t="str">
        <x:f>IF(J232="","",IF(J232&lt;&gt;"OK","Fix row",IF(C232="Sale",K232-E232*H232,0)))</x:f>
      </x:c>
    </x:row>
    <x:row r="233" ht="27" customHeight="1">
      <x:c r="A233" s="40"/>
      <x:c r="B233" s="41"/>
      <x:c r="C233" s="41"/>
      <x:c r="D233" s="41"/>
      <x:c r="E233" s="41"/>
      <x:c r="F233" s="42"/>
      <x:c r="G233" s="42"/>
      <x:c r="H233" s="42"/>
      <x:c r="I233" s="41"/>
      <x:c r="J233" s="34" t="str">
        <x:f>IF(COUNTA(A233:I233)=0,"",IF(OR(NOT(ISNUMBER(A233)),B233="",AND(C233&lt;&gt;"Sale",C233&lt;&gt;"Purchase",C233&lt;&gt;"Adjustment"),COUNTIFS(Products!$A$6:$A$105,D233)&lt;&gt;1,NOT(ISNUMBER(E233)),E233=0,AND(C233&lt;&gt;"Adjustment",E233&lt;0)),"Check inputs",IF(AND(C233="Sale",OR(NOT(ISNUMBER(F233)),NOT(ISNUMBER(G233)),NOT(ISNUMBER(H233)),F233&lt;0,G233&lt;0,H233&lt;0,G233&gt;E233*F233)),"Check sale amounts","OK")))</x:f>
      </x:c>
      <x:c r="K233" s="35" t="str">
        <x:f>IF(J233="","",IF(J233&lt;&gt;"OK","Fix row",IF(C233="Sale",E233*F233-G233,0)))</x:f>
      </x:c>
      <x:c r="L233" s="35" t="str">
        <x:f>IF(J233="","",IF(J233&lt;&gt;"OK","Fix row",IF(C233="Sale",K233-E233*H233,0)))</x:f>
      </x:c>
    </x:row>
    <x:row r="234" ht="27" customHeight="1">
      <x:c r="A234" s="40"/>
      <x:c r="B234" s="41"/>
      <x:c r="C234" s="41"/>
      <x:c r="D234" s="41"/>
      <x:c r="E234" s="41"/>
      <x:c r="F234" s="42"/>
      <x:c r="G234" s="42"/>
      <x:c r="H234" s="42"/>
      <x:c r="I234" s="41"/>
      <x:c r="J234" s="37" t="str">
        <x:f>IF(COUNTA(A234:I234)=0,"",IF(OR(NOT(ISNUMBER(A234)),B234="",AND(C234&lt;&gt;"Sale",C234&lt;&gt;"Purchase",C234&lt;&gt;"Adjustment"),COUNTIFS(Products!$A$6:$A$105,D234)&lt;&gt;1,NOT(ISNUMBER(E234)),E234=0,AND(C234&lt;&gt;"Adjustment",E234&lt;0)),"Check inputs",IF(AND(C234="Sale",OR(NOT(ISNUMBER(F234)),NOT(ISNUMBER(G234)),NOT(ISNUMBER(H234)),F234&lt;0,G234&lt;0,H234&lt;0,G234&gt;E234*F234)),"Check sale amounts","OK")))</x:f>
      </x:c>
      <x:c r="K234" s="38" t="str">
        <x:f>IF(J234="","",IF(J234&lt;&gt;"OK","Fix row",IF(C234="Sale",E234*F234-G234,0)))</x:f>
      </x:c>
      <x:c r="L234" s="38" t="str">
        <x:f>IF(J234="","",IF(J234&lt;&gt;"OK","Fix row",IF(C234="Sale",K234-E234*H234,0)))</x:f>
      </x:c>
    </x:row>
    <x:row r="235" ht="27" customHeight="1">
      <x:c r="A235" s="40"/>
      <x:c r="B235" s="41"/>
      <x:c r="C235" s="41"/>
      <x:c r="D235" s="41"/>
      <x:c r="E235" s="41"/>
      <x:c r="F235" s="42"/>
      <x:c r="G235" s="42"/>
      <x:c r="H235" s="42"/>
      <x:c r="I235" s="41"/>
      <x:c r="J235" s="34" t="str">
        <x:f>IF(COUNTA(A235:I235)=0,"",IF(OR(NOT(ISNUMBER(A235)),B235="",AND(C235&lt;&gt;"Sale",C235&lt;&gt;"Purchase",C235&lt;&gt;"Adjustment"),COUNTIFS(Products!$A$6:$A$105,D235)&lt;&gt;1,NOT(ISNUMBER(E235)),E235=0,AND(C235&lt;&gt;"Adjustment",E235&lt;0)),"Check inputs",IF(AND(C235="Sale",OR(NOT(ISNUMBER(F235)),NOT(ISNUMBER(G235)),NOT(ISNUMBER(H235)),F235&lt;0,G235&lt;0,H235&lt;0,G235&gt;E235*F235)),"Check sale amounts","OK")))</x:f>
      </x:c>
      <x:c r="K235" s="35" t="str">
        <x:f>IF(J235="","",IF(J235&lt;&gt;"OK","Fix row",IF(C235="Sale",E235*F235-G235,0)))</x:f>
      </x:c>
      <x:c r="L235" s="35" t="str">
        <x:f>IF(J235="","",IF(J235&lt;&gt;"OK","Fix row",IF(C235="Sale",K235-E235*H235,0)))</x:f>
      </x:c>
    </x:row>
    <x:row r="236" ht="27" customHeight="1">
      <x:c r="A236" s="40"/>
      <x:c r="B236" s="41"/>
      <x:c r="C236" s="41"/>
      <x:c r="D236" s="41"/>
      <x:c r="E236" s="41"/>
      <x:c r="F236" s="42"/>
      <x:c r="G236" s="42"/>
      <x:c r="H236" s="42"/>
      <x:c r="I236" s="41"/>
      <x:c r="J236" s="37" t="str">
        <x:f>IF(COUNTA(A236:I236)=0,"",IF(OR(NOT(ISNUMBER(A236)),B236="",AND(C236&lt;&gt;"Sale",C236&lt;&gt;"Purchase",C236&lt;&gt;"Adjustment"),COUNTIFS(Products!$A$6:$A$105,D236)&lt;&gt;1,NOT(ISNUMBER(E236)),E236=0,AND(C236&lt;&gt;"Adjustment",E236&lt;0)),"Check inputs",IF(AND(C236="Sale",OR(NOT(ISNUMBER(F236)),NOT(ISNUMBER(G236)),NOT(ISNUMBER(H236)),F236&lt;0,G236&lt;0,H236&lt;0,G236&gt;E236*F236)),"Check sale amounts","OK")))</x:f>
      </x:c>
      <x:c r="K236" s="38" t="str">
        <x:f>IF(J236="","",IF(J236&lt;&gt;"OK","Fix row",IF(C236="Sale",E236*F236-G236,0)))</x:f>
      </x:c>
      <x:c r="L236" s="38" t="str">
        <x:f>IF(J236="","",IF(J236&lt;&gt;"OK","Fix row",IF(C236="Sale",K236-E236*H236,0)))</x:f>
      </x:c>
    </x:row>
    <x:row r="237" ht="27" customHeight="1">
      <x:c r="A237" s="40"/>
      <x:c r="B237" s="41"/>
      <x:c r="C237" s="41"/>
      <x:c r="D237" s="41"/>
      <x:c r="E237" s="41"/>
      <x:c r="F237" s="42"/>
      <x:c r="G237" s="42"/>
      <x:c r="H237" s="42"/>
      <x:c r="I237" s="41"/>
      <x:c r="J237" s="34" t="str">
        <x:f>IF(COUNTA(A237:I237)=0,"",IF(OR(NOT(ISNUMBER(A237)),B237="",AND(C237&lt;&gt;"Sale",C237&lt;&gt;"Purchase",C237&lt;&gt;"Adjustment"),COUNTIFS(Products!$A$6:$A$105,D237)&lt;&gt;1,NOT(ISNUMBER(E237)),E237=0,AND(C237&lt;&gt;"Adjustment",E237&lt;0)),"Check inputs",IF(AND(C237="Sale",OR(NOT(ISNUMBER(F237)),NOT(ISNUMBER(G237)),NOT(ISNUMBER(H237)),F237&lt;0,G237&lt;0,H237&lt;0,G237&gt;E237*F237)),"Check sale amounts","OK")))</x:f>
      </x:c>
      <x:c r="K237" s="35" t="str">
        <x:f>IF(J237="","",IF(J237&lt;&gt;"OK","Fix row",IF(C237="Sale",E237*F237-G237,0)))</x:f>
      </x:c>
      <x:c r="L237" s="35" t="str">
        <x:f>IF(J237="","",IF(J237&lt;&gt;"OK","Fix row",IF(C237="Sale",K237-E237*H237,0)))</x:f>
      </x:c>
    </x:row>
    <x:row r="238" ht="27" customHeight="1">
      <x:c r="A238" s="40"/>
      <x:c r="B238" s="41"/>
      <x:c r="C238" s="41"/>
      <x:c r="D238" s="41"/>
      <x:c r="E238" s="41"/>
      <x:c r="F238" s="42"/>
      <x:c r="G238" s="42"/>
      <x:c r="H238" s="42"/>
      <x:c r="I238" s="41"/>
      <x:c r="J238" s="37" t="str">
        <x:f>IF(COUNTA(A238:I238)=0,"",IF(OR(NOT(ISNUMBER(A238)),B238="",AND(C238&lt;&gt;"Sale",C238&lt;&gt;"Purchase",C238&lt;&gt;"Adjustment"),COUNTIFS(Products!$A$6:$A$105,D238)&lt;&gt;1,NOT(ISNUMBER(E238)),E238=0,AND(C238&lt;&gt;"Adjustment",E238&lt;0)),"Check inputs",IF(AND(C238="Sale",OR(NOT(ISNUMBER(F238)),NOT(ISNUMBER(G238)),NOT(ISNUMBER(H238)),F238&lt;0,G238&lt;0,H238&lt;0,G238&gt;E238*F238)),"Check sale amounts","OK")))</x:f>
      </x:c>
      <x:c r="K238" s="38" t="str">
        <x:f>IF(J238="","",IF(J238&lt;&gt;"OK","Fix row",IF(C238="Sale",E238*F238-G238,0)))</x:f>
      </x:c>
      <x:c r="L238" s="38" t="str">
        <x:f>IF(J238="","",IF(J238&lt;&gt;"OK","Fix row",IF(C238="Sale",K238-E238*H238,0)))</x:f>
      </x:c>
    </x:row>
    <x:row r="239" ht="27" customHeight="1">
      <x:c r="A239" s="40"/>
      <x:c r="B239" s="41"/>
      <x:c r="C239" s="41"/>
      <x:c r="D239" s="41"/>
      <x:c r="E239" s="41"/>
      <x:c r="F239" s="42"/>
      <x:c r="G239" s="42"/>
      <x:c r="H239" s="42"/>
      <x:c r="I239" s="41"/>
      <x:c r="J239" s="34" t="str">
        <x:f>IF(COUNTA(A239:I239)=0,"",IF(OR(NOT(ISNUMBER(A239)),B239="",AND(C239&lt;&gt;"Sale",C239&lt;&gt;"Purchase",C239&lt;&gt;"Adjustment"),COUNTIFS(Products!$A$6:$A$105,D239)&lt;&gt;1,NOT(ISNUMBER(E239)),E239=0,AND(C239&lt;&gt;"Adjustment",E239&lt;0)),"Check inputs",IF(AND(C239="Sale",OR(NOT(ISNUMBER(F239)),NOT(ISNUMBER(G239)),NOT(ISNUMBER(H239)),F239&lt;0,G239&lt;0,H239&lt;0,G239&gt;E239*F239)),"Check sale amounts","OK")))</x:f>
      </x:c>
      <x:c r="K239" s="35" t="str">
        <x:f>IF(J239="","",IF(J239&lt;&gt;"OK","Fix row",IF(C239="Sale",E239*F239-G239,0)))</x:f>
      </x:c>
      <x:c r="L239" s="35" t="str">
        <x:f>IF(J239="","",IF(J239&lt;&gt;"OK","Fix row",IF(C239="Sale",K239-E239*H239,0)))</x:f>
      </x:c>
    </x:row>
    <x:row r="240" ht="27" customHeight="1">
      <x:c r="A240" s="40"/>
      <x:c r="B240" s="41"/>
      <x:c r="C240" s="41"/>
      <x:c r="D240" s="41"/>
      <x:c r="E240" s="41"/>
      <x:c r="F240" s="42"/>
      <x:c r="G240" s="42"/>
      <x:c r="H240" s="42"/>
      <x:c r="I240" s="41"/>
      <x:c r="J240" s="37" t="str">
        <x:f>IF(COUNTA(A240:I240)=0,"",IF(OR(NOT(ISNUMBER(A240)),B240="",AND(C240&lt;&gt;"Sale",C240&lt;&gt;"Purchase",C240&lt;&gt;"Adjustment"),COUNTIFS(Products!$A$6:$A$105,D240)&lt;&gt;1,NOT(ISNUMBER(E240)),E240=0,AND(C240&lt;&gt;"Adjustment",E240&lt;0)),"Check inputs",IF(AND(C240="Sale",OR(NOT(ISNUMBER(F240)),NOT(ISNUMBER(G240)),NOT(ISNUMBER(H240)),F240&lt;0,G240&lt;0,H240&lt;0,G240&gt;E240*F240)),"Check sale amounts","OK")))</x:f>
      </x:c>
      <x:c r="K240" s="38" t="str">
        <x:f>IF(J240="","",IF(J240&lt;&gt;"OK","Fix row",IF(C240="Sale",E240*F240-G240,0)))</x:f>
      </x:c>
      <x:c r="L240" s="38" t="str">
        <x:f>IF(J240="","",IF(J240&lt;&gt;"OK","Fix row",IF(C240="Sale",K240-E240*H240,0)))</x:f>
      </x:c>
    </x:row>
    <x:row r="241" ht="27" customHeight="1">
      <x:c r="A241" s="40"/>
      <x:c r="B241" s="41"/>
      <x:c r="C241" s="41"/>
      <x:c r="D241" s="41"/>
      <x:c r="E241" s="41"/>
      <x:c r="F241" s="42"/>
      <x:c r="G241" s="42"/>
      <x:c r="H241" s="42"/>
      <x:c r="I241" s="41"/>
      <x:c r="J241" s="34" t="str">
        <x:f>IF(COUNTA(A241:I241)=0,"",IF(OR(NOT(ISNUMBER(A241)),B241="",AND(C241&lt;&gt;"Sale",C241&lt;&gt;"Purchase",C241&lt;&gt;"Adjustment"),COUNTIFS(Products!$A$6:$A$105,D241)&lt;&gt;1,NOT(ISNUMBER(E241)),E241=0,AND(C241&lt;&gt;"Adjustment",E241&lt;0)),"Check inputs",IF(AND(C241="Sale",OR(NOT(ISNUMBER(F241)),NOT(ISNUMBER(G241)),NOT(ISNUMBER(H241)),F241&lt;0,G241&lt;0,H241&lt;0,G241&gt;E241*F241)),"Check sale amounts","OK")))</x:f>
      </x:c>
      <x:c r="K241" s="35" t="str">
        <x:f>IF(J241="","",IF(J241&lt;&gt;"OK","Fix row",IF(C241="Sale",E241*F241-G241,0)))</x:f>
      </x:c>
      <x:c r="L241" s="35" t="str">
        <x:f>IF(J241="","",IF(J241&lt;&gt;"OK","Fix row",IF(C241="Sale",K241-E241*H241,0)))</x:f>
      </x:c>
    </x:row>
    <x:row r="242" ht="27" customHeight="1">
      <x:c r="A242" s="40"/>
      <x:c r="B242" s="41"/>
      <x:c r="C242" s="41"/>
      <x:c r="D242" s="41"/>
      <x:c r="E242" s="41"/>
      <x:c r="F242" s="42"/>
      <x:c r="G242" s="42"/>
      <x:c r="H242" s="42"/>
      <x:c r="I242" s="41"/>
      <x:c r="J242" s="37" t="str">
        <x:f>IF(COUNTA(A242:I242)=0,"",IF(OR(NOT(ISNUMBER(A242)),B242="",AND(C242&lt;&gt;"Sale",C242&lt;&gt;"Purchase",C242&lt;&gt;"Adjustment"),COUNTIFS(Products!$A$6:$A$105,D242)&lt;&gt;1,NOT(ISNUMBER(E242)),E242=0,AND(C242&lt;&gt;"Adjustment",E242&lt;0)),"Check inputs",IF(AND(C242="Sale",OR(NOT(ISNUMBER(F242)),NOT(ISNUMBER(G242)),NOT(ISNUMBER(H242)),F242&lt;0,G242&lt;0,H242&lt;0,G242&gt;E242*F242)),"Check sale amounts","OK")))</x:f>
      </x:c>
      <x:c r="K242" s="38" t="str">
        <x:f>IF(J242="","",IF(J242&lt;&gt;"OK","Fix row",IF(C242="Sale",E242*F242-G242,0)))</x:f>
      </x:c>
      <x:c r="L242" s="38" t="str">
        <x:f>IF(J242="","",IF(J242&lt;&gt;"OK","Fix row",IF(C242="Sale",K242-E242*H242,0)))</x:f>
      </x:c>
    </x:row>
    <x:row r="243" ht="27" customHeight="1">
      <x:c r="A243" s="40"/>
      <x:c r="B243" s="41"/>
      <x:c r="C243" s="41"/>
      <x:c r="D243" s="41"/>
      <x:c r="E243" s="41"/>
      <x:c r="F243" s="42"/>
      <x:c r="G243" s="42"/>
      <x:c r="H243" s="42"/>
      <x:c r="I243" s="41"/>
      <x:c r="J243" s="34" t="str">
        <x:f>IF(COUNTA(A243:I243)=0,"",IF(OR(NOT(ISNUMBER(A243)),B243="",AND(C243&lt;&gt;"Sale",C243&lt;&gt;"Purchase",C243&lt;&gt;"Adjustment"),COUNTIFS(Products!$A$6:$A$105,D243)&lt;&gt;1,NOT(ISNUMBER(E243)),E243=0,AND(C243&lt;&gt;"Adjustment",E243&lt;0)),"Check inputs",IF(AND(C243="Sale",OR(NOT(ISNUMBER(F243)),NOT(ISNUMBER(G243)),NOT(ISNUMBER(H243)),F243&lt;0,G243&lt;0,H243&lt;0,G243&gt;E243*F243)),"Check sale amounts","OK")))</x:f>
      </x:c>
      <x:c r="K243" s="35" t="str">
        <x:f>IF(J243="","",IF(J243&lt;&gt;"OK","Fix row",IF(C243="Sale",E243*F243-G243,0)))</x:f>
      </x:c>
      <x:c r="L243" s="35" t="str">
        <x:f>IF(J243="","",IF(J243&lt;&gt;"OK","Fix row",IF(C243="Sale",K243-E243*H243,0)))</x:f>
      </x:c>
    </x:row>
    <x:row r="244" ht="27" customHeight="1">
      <x:c r="A244" s="40"/>
      <x:c r="B244" s="41"/>
      <x:c r="C244" s="41"/>
      <x:c r="D244" s="41"/>
      <x:c r="E244" s="41"/>
      <x:c r="F244" s="42"/>
      <x:c r="G244" s="42"/>
      <x:c r="H244" s="42"/>
      <x:c r="I244" s="41"/>
      <x:c r="J244" s="37" t="str">
        <x:f>IF(COUNTA(A244:I244)=0,"",IF(OR(NOT(ISNUMBER(A244)),B244="",AND(C244&lt;&gt;"Sale",C244&lt;&gt;"Purchase",C244&lt;&gt;"Adjustment"),COUNTIFS(Products!$A$6:$A$105,D244)&lt;&gt;1,NOT(ISNUMBER(E244)),E244=0,AND(C244&lt;&gt;"Adjustment",E244&lt;0)),"Check inputs",IF(AND(C244="Sale",OR(NOT(ISNUMBER(F244)),NOT(ISNUMBER(G244)),NOT(ISNUMBER(H244)),F244&lt;0,G244&lt;0,H244&lt;0,G244&gt;E244*F244)),"Check sale amounts","OK")))</x:f>
      </x:c>
      <x:c r="K244" s="38" t="str">
        <x:f>IF(J244="","",IF(J244&lt;&gt;"OK","Fix row",IF(C244="Sale",E244*F244-G244,0)))</x:f>
      </x:c>
      <x:c r="L244" s="38" t="str">
        <x:f>IF(J244="","",IF(J244&lt;&gt;"OK","Fix row",IF(C244="Sale",K244-E244*H244,0)))</x:f>
      </x:c>
    </x:row>
    <x:row r="245" ht="27" customHeight="1">
      <x:c r="A245" s="40"/>
      <x:c r="B245" s="41"/>
      <x:c r="C245" s="41"/>
      <x:c r="D245" s="41"/>
      <x:c r="E245" s="41"/>
      <x:c r="F245" s="42"/>
      <x:c r="G245" s="42"/>
      <x:c r="H245" s="42"/>
      <x:c r="I245" s="41"/>
      <x:c r="J245" s="34" t="str">
        <x:f>IF(COUNTA(A245:I245)=0,"",IF(OR(NOT(ISNUMBER(A245)),B245="",AND(C245&lt;&gt;"Sale",C245&lt;&gt;"Purchase",C245&lt;&gt;"Adjustment"),COUNTIFS(Products!$A$6:$A$105,D245)&lt;&gt;1,NOT(ISNUMBER(E245)),E245=0,AND(C245&lt;&gt;"Adjustment",E245&lt;0)),"Check inputs",IF(AND(C245="Sale",OR(NOT(ISNUMBER(F245)),NOT(ISNUMBER(G245)),NOT(ISNUMBER(H245)),F245&lt;0,G245&lt;0,H245&lt;0,G245&gt;E245*F245)),"Check sale amounts","OK")))</x:f>
      </x:c>
      <x:c r="K245" s="35" t="str">
        <x:f>IF(J245="","",IF(J245&lt;&gt;"OK","Fix row",IF(C245="Sale",E245*F245-G245,0)))</x:f>
      </x:c>
      <x:c r="L245" s="35" t="str">
        <x:f>IF(J245="","",IF(J245&lt;&gt;"OK","Fix row",IF(C245="Sale",K245-E245*H245,0)))</x:f>
      </x:c>
    </x:row>
    <x:row r="246" ht="27" customHeight="1">
      <x:c r="A246" s="40"/>
      <x:c r="B246" s="41"/>
      <x:c r="C246" s="41"/>
      <x:c r="D246" s="41"/>
      <x:c r="E246" s="41"/>
      <x:c r="F246" s="42"/>
      <x:c r="G246" s="42"/>
      <x:c r="H246" s="42"/>
      <x:c r="I246" s="41"/>
      <x:c r="J246" s="37" t="str">
        <x:f>IF(COUNTA(A246:I246)=0,"",IF(OR(NOT(ISNUMBER(A246)),B246="",AND(C246&lt;&gt;"Sale",C246&lt;&gt;"Purchase",C246&lt;&gt;"Adjustment"),COUNTIFS(Products!$A$6:$A$105,D246)&lt;&gt;1,NOT(ISNUMBER(E246)),E246=0,AND(C246&lt;&gt;"Adjustment",E246&lt;0)),"Check inputs",IF(AND(C246="Sale",OR(NOT(ISNUMBER(F246)),NOT(ISNUMBER(G246)),NOT(ISNUMBER(H246)),F246&lt;0,G246&lt;0,H246&lt;0,G246&gt;E246*F246)),"Check sale amounts","OK")))</x:f>
      </x:c>
      <x:c r="K246" s="38" t="str">
        <x:f>IF(J246="","",IF(J246&lt;&gt;"OK","Fix row",IF(C246="Sale",E246*F246-G246,0)))</x:f>
      </x:c>
      <x:c r="L246" s="38" t="str">
        <x:f>IF(J246="","",IF(J246&lt;&gt;"OK","Fix row",IF(C246="Sale",K246-E246*H246,0)))</x:f>
      </x:c>
    </x:row>
    <x:row r="247" ht="27" customHeight="1">
      <x:c r="A247" s="40"/>
      <x:c r="B247" s="41"/>
      <x:c r="C247" s="41"/>
      <x:c r="D247" s="41"/>
      <x:c r="E247" s="41"/>
      <x:c r="F247" s="42"/>
      <x:c r="G247" s="42"/>
      <x:c r="H247" s="42"/>
      <x:c r="I247" s="41"/>
      <x:c r="J247" s="34" t="str">
        <x:f>IF(COUNTA(A247:I247)=0,"",IF(OR(NOT(ISNUMBER(A247)),B247="",AND(C247&lt;&gt;"Sale",C247&lt;&gt;"Purchase",C247&lt;&gt;"Adjustment"),COUNTIFS(Products!$A$6:$A$105,D247)&lt;&gt;1,NOT(ISNUMBER(E247)),E247=0,AND(C247&lt;&gt;"Adjustment",E247&lt;0)),"Check inputs",IF(AND(C247="Sale",OR(NOT(ISNUMBER(F247)),NOT(ISNUMBER(G247)),NOT(ISNUMBER(H247)),F247&lt;0,G247&lt;0,H247&lt;0,G247&gt;E247*F247)),"Check sale amounts","OK")))</x:f>
      </x:c>
      <x:c r="K247" s="35" t="str">
        <x:f>IF(J247="","",IF(J247&lt;&gt;"OK","Fix row",IF(C247="Sale",E247*F247-G247,0)))</x:f>
      </x:c>
      <x:c r="L247" s="35" t="str">
        <x:f>IF(J247="","",IF(J247&lt;&gt;"OK","Fix row",IF(C247="Sale",K247-E247*H247,0)))</x:f>
      </x:c>
    </x:row>
    <x:row r="248" ht="27" customHeight="1">
      <x:c r="A248" s="40"/>
      <x:c r="B248" s="41"/>
      <x:c r="C248" s="41"/>
      <x:c r="D248" s="41"/>
      <x:c r="E248" s="41"/>
      <x:c r="F248" s="42"/>
      <x:c r="G248" s="42"/>
      <x:c r="H248" s="42"/>
      <x:c r="I248" s="41"/>
      <x:c r="J248" s="37" t="str">
        <x:f>IF(COUNTA(A248:I248)=0,"",IF(OR(NOT(ISNUMBER(A248)),B248="",AND(C248&lt;&gt;"Sale",C248&lt;&gt;"Purchase",C248&lt;&gt;"Adjustment"),COUNTIFS(Products!$A$6:$A$105,D248)&lt;&gt;1,NOT(ISNUMBER(E248)),E248=0,AND(C248&lt;&gt;"Adjustment",E248&lt;0)),"Check inputs",IF(AND(C248="Sale",OR(NOT(ISNUMBER(F248)),NOT(ISNUMBER(G248)),NOT(ISNUMBER(H248)),F248&lt;0,G248&lt;0,H248&lt;0,G248&gt;E248*F248)),"Check sale amounts","OK")))</x:f>
      </x:c>
      <x:c r="K248" s="38" t="str">
        <x:f>IF(J248="","",IF(J248&lt;&gt;"OK","Fix row",IF(C248="Sale",E248*F248-G248,0)))</x:f>
      </x:c>
      <x:c r="L248" s="38" t="str">
        <x:f>IF(J248="","",IF(J248&lt;&gt;"OK","Fix row",IF(C248="Sale",K248-E248*H248,0)))</x:f>
      </x:c>
    </x:row>
    <x:row r="249" ht="27" customHeight="1">
      <x:c r="A249" s="40"/>
      <x:c r="B249" s="41"/>
      <x:c r="C249" s="41"/>
      <x:c r="D249" s="41"/>
      <x:c r="E249" s="41"/>
      <x:c r="F249" s="42"/>
      <x:c r="G249" s="42"/>
      <x:c r="H249" s="42"/>
      <x:c r="I249" s="41"/>
      <x:c r="J249" s="34" t="str">
        <x:f>IF(COUNTA(A249:I249)=0,"",IF(OR(NOT(ISNUMBER(A249)),B249="",AND(C249&lt;&gt;"Sale",C249&lt;&gt;"Purchase",C249&lt;&gt;"Adjustment"),COUNTIFS(Products!$A$6:$A$105,D249)&lt;&gt;1,NOT(ISNUMBER(E249)),E249=0,AND(C249&lt;&gt;"Adjustment",E249&lt;0)),"Check inputs",IF(AND(C249="Sale",OR(NOT(ISNUMBER(F249)),NOT(ISNUMBER(G249)),NOT(ISNUMBER(H249)),F249&lt;0,G249&lt;0,H249&lt;0,G249&gt;E249*F249)),"Check sale amounts","OK")))</x:f>
      </x:c>
      <x:c r="K249" s="35" t="str">
        <x:f>IF(J249="","",IF(J249&lt;&gt;"OK","Fix row",IF(C249="Sale",E249*F249-G249,0)))</x:f>
      </x:c>
      <x:c r="L249" s="35" t="str">
        <x:f>IF(J249="","",IF(J249&lt;&gt;"OK","Fix row",IF(C249="Sale",K249-E249*H249,0)))</x:f>
      </x:c>
    </x:row>
    <x:row r="250" ht="27" customHeight="1">
      <x:c r="A250" s="40"/>
      <x:c r="B250" s="41"/>
      <x:c r="C250" s="41"/>
      <x:c r="D250" s="41"/>
      <x:c r="E250" s="41"/>
      <x:c r="F250" s="42"/>
      <x:c r="G250" s="42"/>
      <x:c r="H250" s="42"/>
      <x:c r="I250" s="41"/>
      <x:c r="J250" s="37" t="str">
        <x:f>IF(COUNTA(A250:I250)=0,"",IF(OR(NOT(ISNUMBER(A250)),B250="",AND(C250&lt;&gt;"Sale",C250&lt;&gt;"Purchase",C250&lt;&gt;"Adjustment"),COUNTIFS(Products!$A$6:$A$105,D250)&lt;&gt;1,NOT(ISNUMBER(E250)),E250=0,AND(C250&lt;&gt;"Adjustment",E250&lt;0)),"Check inputs",IF(AND(C250="Sale",OR(NOT(ISNUMBER(F250)),NOT(ISNUMBER(G250)),NOT(ISNUMBER(H250)),F250&lt;0,G250&lt;0,H250&lt;0,G250&gt;E250*F250)),"Check sale amounts","OK")))</x:f>
      </x:c>
      <x:c r="K250" s="38" t="str">
        <x:f>IF(J250="","",IF(J250&lt;&gt;"OK","Fix row",IF(C250="Sale",E250*F250-G250,0)))</x:f>
      </x:c>
      <x:c r="L250" s="38" t="str">
        <x:f>IF(J250="","",IF(J250&lt;&gt;"OK","Fix row",IF(C250="Sale",K250-E250*H250,0)))</x:f>
      </x:c>
    </x:row>
    <x:row r="251" ht="27" customHeight="1">
      <x:c r="A251" s="40"/>
      <x:c r="B251" s="41"/>
      <x:c r="C251" s="41"/>
      <x:c r="D251" s="41"/>
      <x:c r="E251" s="41"/>
      <x:c r="F251" s="42"/>
      <x:c r="G251" s="42"/>
      <x:c r="H251" s="42"/>
      <x:c r="I251" s="41"/>
      <x:c r="J251" s="34" t="str">
        <x:f>IF(COUNTA(A251:I251)=0,"",IF(OR(NOT(ISNUMBER(A251)),B251="",AND(C251&lt;&gt;"Sale",C251&lt;&gt;"Purchase",C251&lt;&gt;"Adjustment"),COUNTIFS(Products!$A$6:$A$105,D251)&lt;&gt;1,NOT(ISNUMBER(E251)),E251=0,AND(C251&lt;&gt;"Adjustment",E251&lt;0)),"Check inputs",IF(AND(C251="Sale",OR(NOT(ISNUMBER(F251)),NOT(ISNUMBER(G251)),NOT(ISNUMBER(H251)),F251&lt;0,G251&lt;0,H251&lt;0,G251&gt;E251*F251)),"Check sale amounts","OK")))</x:f>
      </x:c>
      <x:c r="K251" s="35" t="str">
        <x:f>IF(J251="","",IF(J251&lt;&gt;"OK","Fix row",IF(C251="Sale",E251*F251-G251,0)))</x:f>
      </x:c>
      <x:c r="L251" s="35" t="str">
        <x:f>IF(J251="","",IF(J251&lt;&gt;"OK","Fix row",IF(C251="Sale",K251-E251*H251,0)))</x:f>
      </x:c>
    </x:row>
    <x:row r="252" ht="27" customHeight="1">
      <x:c r="A252" s="40"/>
      <x:c r="B252" s="41"/>
      <x:c r="C252" s="41"/>
      <x:c r="D252" s="41"/>
      <x:c r="E252" s="41"/>
      <x:c r="F252" s="42"/>
      <x:c r="G252" s="42"/>
      <x:c r="H252" s="42"/>
      <x:c r="I252" s="41"/>
      <x:c r="J252" s="37" t="str">
        <x:f>IF(COUNTA(A252:I252)=0,"",IF(OR(NOT(ISNUMBER(A252)),B252="",AND(C252&lt;&gt;"Sale",C252&lt;&gt;"Purchase",C252&lt;&gt;"Adjustment"),COUNTIFS(Products!$A$6:$A$105,D252)&lt;&gt;1,NOT(ISNUMBER(E252)),E252=0,AND(C252&lt;&gt;"Adjustment",E252&lt;0)),"Check inputs",IF(AND(C252="Sale",OR(NOT(ISNUMBER(F252)),NOT(ISNUMBER(G252)),NOT(ISNUMBER(H252)),F252&lt;0,G252&lt;0,H252&lt;0,G252&gt;E252*F252)),"Check sale amounts","OK")))</x:f>
      </x:c>
      <x:c r="K252" s="38" t="str">
        <x:f>IF(J252="","",IF(J252&lt;&gt;"OK","Fix row",IF(C252="Sale",E252*F252-G252,0)))</x:f>
      </x:c>
      <x:c r="L252" s="38" t="str">
        <x:f>IF(J252="","",IF(J252&lt;&gt;"OK","Fix row",IF(C252="Sale",K252-E252*H252,0)))</x:f>
      </x:c>
    </x:row>
    <x:row r="253" ht="27" customHeight="1">
      <x:c r="A253" s="40"/>
      <x:c r="B253" s="41"/>
      <x:c r="C253" s="41"/>
      <x:c r="D253" s="41"/>
      <x:c r="E253" s="41"/>
      <x:c r="F253" s="42"/>
      <x:c r="G253" s="42"/>
      <x:c r="H253" s="42"/>
      <x:c r="I253" s="41"/>
      <x:c r="J253" s="34" t="str">
        <x:f>IF(COUNTA(A253:I253)=0,"",IF(OR(NOT(ISNUMBER(A253)),B253="",AND(C253&lt;&gt;"Sale",C253&lt;&gt;"Purchase",C253&lt;&gt;"Adjustment"),COUNTIFS(Products!$A$6:$A$105,D253)&lt;&gt;1,NOT(ISNUMBER(E253)),E253=0,AND(C253&lt;&gt;"Adjustment",E253&lt;0)),"Check inputs",IF(AND(C253="Sale",OR(NOT(ISNUMBER(F253)),NOT(ISNUMBER(G253)),NOT(ISNUMBER(H253)),F253&lt;0,G253&lt;0,H253&lt;0,G253&gt;E253*F253)),"Check sale amounts","OK")))</x:f>
      </x:c>
      <x:c r="K253" s="35" t="str">
        <x:f>IF(J253="","",IF(J253&lt;&gt;"OK","Fix row",IF(C253="Sale",E253*F253-G253,0)))</x:f>
      </x:c>
      <x:c r="L253" s="35" t="str">
        <x:f>IF(J253="","",IF(J253&lt;&gt;"OK","Fix row",IF(C253="Sale",K253-E253*H253,0)))</x:f>
      </x:c>
    </x:row>
    <x:row r="254" ht="27" customHeight="1">
      <x:c r="A254" s="40"/>
      <x:c r="B254" s="41"/>
      <x:c r="C254" s="41"/>
      <x:c r="D254" s="41"/>
      <x:c r="E254" s="41"/>
      <x:c r="F254" s="42"/>
      <x:c r="G254" s="42"/>
      <x:c r="H254" s="42"/>
      <x:c r="I254" s="41"/>
      <x:c r="J254" s="37" t="str">
        <x:f>IF(COUNTA(A254:I254)=0,"",IF(OR(NOT(ISNUMBER(A254)),B254="",AND(C254&lt;&gt;"Sale",C254&lt;&gt;"Purchase",C254&lt;&gt;"Adjustment"),COUNTIFS(Products!$A$6:$A$105,D254)&lt;&gt;1,NOT(ISNUMBER(E254)),E254=0,AND(C254&lt;&gt;"Adjustment",E254&lt;0)),"Check inputs",IF(AND(C254="Sale",OR(NOT(ISNUMBER(F254)),NOT(ISNUMBER(G254)),NOT(ISNUMBER(H254)),F254&lt;0,G254&lt;0,H254&lt;0,G254&gt;E254*F254)),"Check sale amounts","OK")))</x:f>
      </x:c>
      <x:c r="K254" s="38" t="str">
        <x:f>IF(J254="","",IF(J254&lt;&gt;"OK","Fix row",IF(C254="Sale",E254*F254-G254,0)))</x:f>
      </x:c>
      <x:c r="L254" s="38" t="str">
        <x:f>IF(J254="","",IF(J254&lt;&gt;"OK","Fix row",IF(C254="Sale",K254-E254*H254,0)))</x:f>
      </x:c>
    </x:row>
    <x:row r="255" ht="27" customHeight="1">
      <x:c r="A255" s="40"/>
      <x:c r="B255" s="41"/>
      <x:c r="C255" s="41"/>
      <x:c r="D255" s="41"/>
      <x:c r="E255" s="41"/>
      <x:c r="F255" s="42"/>
      <x:c r="G255" s="42"/>
      <x:c r="H255" s="42"/>
      <x:c r="I255" s="41"/>
      <x:c r="J255" s="34" t="str">
        <x:f>IF(COUNTA(A255:I255)=0,"",IF(OR(NOT(ISNUMBER(A255)),B255="",AND(C255&lt;&gt;"Sale",C255&lt;&gt;"Purchase",C255&lt;&gt;"Adjustment"),COUNTIFS(Products!$A$6:$A$105,D255)&lt;&gt;1,NOT(ISNUMBER(E255)),E255=0,AND(C255&lt;&gt;"Adjustment",E255&lt;0)),"Check inputs",IF(AND(C255="Sale",OR(NOT(ISNUMBER(F255)),NOT(ISNUMBER(G255)),NOT(ISNUMBER(H255)),F255&lt;0,G255&lt;0,H255&lt;0,G255&gt;E255*F255)),"Check sale amounts","OK")))</x:f>
      </x:c>
      <x:c r="K255" s="35" t="str">
        <x:f>IF(J255="","",IF(J255&lt;&gt;"OK","Fix row",IF(C255="Sale",E255*F255-G255,0)))</x:f>
      </x:c>
      <x:c r="L255" s="35" t="str">
        <x:f>IF(J255="","",IF(J255&lt;&gt;"OK","Fix row",IF(C255="Sale",K255-E255*H255,0)))</x:f>
      </x:c>
    </x:row>
    <x:row r="256" ht="27" customHeight="1">
      <x:c r="A256" s="40"/>
      <x:c r="B256" s="41"/>
      <x:c r="C256" s="41"/>
      <x:c r="D256" s="41"/>
      <x:c r="E256" s="41"/>
      <x:c r="F256" s="42"/>
      <x:c r="G256" s="42"/>
      <x:c r="H256" s="42"/>
      <x:c r="I256" s="41"/>
      <x:c r="J256" s="37" t="str">
        <x:f>IF(COUNTA(A256:I256)=0,"",IF(OR(NOT(ISNUMBER(A256)),B256="",AND(C256&lt;&gt;"Sale",C256&lt;&gt;"Purchase",C256&lt;&gt;"Adjustment"),COUNTIFS(Products!$A$6:$A$105,D256)&lt;&gt;1,NOT(ISNUMBER(E256)),E256=0,AND(C256&lt;&gt;"Adjustment",E256&lt;0)),"Check inputs",IF(AND(C256="Sale",OR(NOT(ISNUMBER(F256)),NOT(ISNUMBER(G256)),NOT(ISNUMBER(H256)),F256&lt;0,G256&lt;0,H256&lt;0,G256&gt;E256*F256)),"Check sale amounts","OK")))</x:f>
      </x:c>
      <x:c r="K256" s="38" t="str">
        <x:f>IF(J256="","",IF(J256&lt;&gt;"OK","Fix row",IF(C256="Sale",E256*F256-G256,0)))</x:f>
      </x:c>
      <x:c r="L256" s="38" t="str">
        <x:f>IF(J256="","",IF(J256&lt;&gt;"OK","Fix row",IF(C256="Sale",K256-E256*H256,0)))</x:f>
      </x:c>
    </x:row>
    <x:row r="257" ht="27" customHeight="1">
      <x:c r="A257" s="40"/>
      <x:c r="B257" s="41"/>
      <x:c r="C257" s="41"/>
      <x:c r="D257" s="41"/>
      <x:c r="E257" s="41"/>
      <x:c r="F257" s="42"/>
      <x:c r="G257" s="42"/>
      <x:c r="H257" s="42"/>
      <x:c r="I257" s="41"/>
      <x:c r="J257" s="34" t="str">
        <x:f>IF(COUNTA(A257:I257)=0,"",IF(OR(NOT(ISNUMBER(A257)),B257="",AND(C257&lt;&gt;"Sale",C257&lt;&gt;"Purchase",C257&lt;&gt;"Adjustment"),COUNTIFS(Products!$A$6:$A$105,D257)&lt;&gt;1,NOT(ISNUMBER(E257)),E257=0,AND(C257&lt;&gt;"Adjustment",E257&lt;0)),"Check inputs",IF(AND(C257="Sale",OR(NOT(ISNUMBER(F257)),NOT(ISNUMBER(G257)),NOT(ISNUMBER(H257)),F257&lt;0,G257&lt;0,H257&lt;0,G257&gt;E257*F257)),"Check sale amounts","OK")))</x:f>
      </x:c>
      <x:c r="K257" s="35" t="str">
        <x:f>IF(J257="","",IF(J257&lt;&gt;"OK","Fix row",IF(C257="Sale",E257*F257-G257,0)))</x:f>
      </x:c>
      <x:c r="L257" s="35" t="str">
        <x:f>IF(J257="","",IF(J257&lt;&gt;"OK","Fix row",IF(C257="Sale",K257-E257*H257,0)))</x:f>
      </x:c>
    </x:row>
    <x:row r="258" ht="27" customHeight="1">
      <x:c r="A258" s="40"/>
      <x:c r="B258" s="41"/>
      <x:c r="C258" s="41"/>
      <x:c r="D258" s="41"/>
      <x:c r="E258" s="41"/>
      <x:c r="F258" s="42"/>
      <x:c r="G258" s="42"/>
      <x:c r="H258" s="42"/>
      <x:c r="I258" s="41"/>
      <x:c r="J258" s="37" t="str">
        <x:f>IF(COUNTA(A258:I258)=0,"",IF(OR(NOT(ISNUMBER(A258)),B258="",AND(C258&lt;&gt;"Sale",C258&lt;&gt;"Purchase",C258&lt;&gt;"Adjustment"),COUNTIFS(Products!$A$6:$A$105,D258)&lt;&gt;1,NOT(ISNUMBER(E258)),E258=0,AND(C258&lt;&gt;"Adjustment",E258&lt;0)),"Check inputs",IF(AND(C258="Sale",OR(NOT(ISNUMBER(F258)),NOT(ISNUMBER(G258)),NOT(ISNUMBER(H258)),F258&lt;0,G258&lt;0,H258&lt;0,G258&gt;E258*F258)),"Check sale amounts","OK")))</x:f>
      </x:c>
      <x:c r="K258" s="38" t="str">
        <x:f>IF(J258="","",IF(J258&lt;&gt;"OK","Fix row",IF(C258="Sale",E258*F258-G258,0)))</x:f>
      </x:c>
      <x:c r="L258" s="38" t="str">
        <x:f>IF(J258="","",IF(J258&lt;&gt;"OK","Fix row",IF(C258="Sale",K258-E258*H258,0)))</x:f>
      </x:c>
    </x:row>
    <x:row r="259" ht="27" customHeight="1">
      <x:c r="A259" s="40"/>
      <x:c r="B259" s="41"/>
      <x:c r="C259" s="41"/>
      <x:c r="D259" s="41"/>
      <x:c r="E259" s="41"/>
      <x:c r="F259" s="42"/>
      <x:c r="G259" s="42"/>
      <x:c r="H259" s="42"/>
      <x:c r="I259" s="41"/>
      <x:c r="J259" s="34" t="str">
        <x:f>IF(COUNTA(A259:I259)=0,"",IF(OR(NOT(ISNUMBER(A259)),B259="",AND(C259&lt;&gt;"Sale",C259&lt;&gt;"Purchase",C259&lt;&gt;"Adjustment"),COUNTIFS(Products!$A$6:$A$105,D259)&lt;&gt;1,NOT(ISNUMBER(E259)),E259=0,AND(C259&lt;&gt;"Adjustment",E259&lt;0)),"Check inputs",IF(AND(C259="Sale",OR(NOT(ISNUMBER(F259)),NOT(ISNUMBER(G259)),NOT(ISNUMBER(H259)),F259&lt;0,G259&lt;0,H259&lt;0,G259&gt;E259*F259)),"Check sale amounts","OK")))</x:f>
      </x:c>
      <x:c r="K259" s="35" t="str">
        <x:f>IF(J259="","",IF(J259&lt;&gt;"OK","Fix row",IF(C259="Sale",E259*F259-G259,0)))</x:f>
      </x:c>
      <x:c r="L259" s="35" t="str">
        <x:f>IF(J259="","",IF(J259&lt;&gt;"OK","Fix row",IF(C259="Sale",K259-E259*H259,0)))</x:f>
      </x:c>
    </x:row>
    <x:row r="260" ht="27" customHeight="1">
      <x:c r="A260" s="40"/>
      <x:c r="B260" s="41"/>
      <x:c r="C260" s="41"/>
      <x:c r="D260" s="41"/>
      <x:c r="E260" s="41"/>
      <x:c r="F260" s="42"/>
      <x:c r="G260" s="42"/>
      <x:c r="H260" s="42"/>
      <x:c r="I260" s="41"/>
      <x:c r="J260" s="37" t="str">
        <x:f>IF(COUNTA(A260:I260)=0,"",IF(OR(NOT(ISNUMBER(A260)),B260="",AND(C260&lt;&gt;"Sale",C260&lt;&gt;"Purchase",C260&lt;&gt;"Adjustment"),COUNTIFS(Products!$A$6:$A$105,D260)&lt;&gt;1,NOT(ISNUMBER(E260)),E260=0,AND(C260&lt;&gt;"Adjustment",E260&lt;0)),"Check inputs",IF(AND(C260="Sale",OR(NOT(ISNUMBER(F260)),NOT(ISNUMBER(G260)),NOT(ISNUMBER(H260)),F260&lt;0,G260&lt;0,H260&lt;0,G260&gt;E260*F260)),"Check sale amounts","OK")))</x:f>
      </x:c>
      <x:c r="K260" s="38" t="str">
        <x:f>IF(J260="","",IF(J260&lt;&gt;"OK","Fix row",IF(C260="Sale",E260*F260-G260,0)))</x:f>
      </x:c>
      <x:c r="L260" s="38" t="str">
        <x:f>IF(J260="","",IF(J260&lt;&gt;"OK","Fix row",IF(C260="Sale",K260-E260*H260,0)))</x:f>
      </x:c>
    </x:row>
    <x:row r="261" ht="27" customHeight="1">
      <x:c r="A261" s="40"/>
      <x:c r="B261" s="41"/>
      <x:c r="C261" s="41"/>
      <x:c r="D261" s="41"/>
      <x:c r="E261" s="41"/>
      <x:c r="F261" s="42"/>
      <x:c r="G261" s="42"/>
      <x:c r="H261" s="42"/>
      <x:c r="I261" s="41"/>
      <x:c r="J261" s="34" t="str">
        <x:f>IF(COUNTA(A261:I261)=0,"",IF(OR(NOT(ISNUMBER(A261)),B261="",AND(C261&lt;&gt;"Sale",C261&lt;&gt;"Purchase",C261&lt;&gt;"Adjustment"),COUNTIFS(Products!$A$6:$A$105,D261)&lt;&gt;1,NOT(ISNUMBER(E261)),E261=0,AND(C261&lt;&gt;"Adjustment",E261&lt;0)),"Check inputs",IF(AND(C261="Sale",OR(NOT(ISNUMBER(F261)),NOT(ISNUMBER(G261)),NOT(ISNUMBER(H261)),F261&lt;0,G261&lt;0,H261&lt;0,G261&gt;E261*F261)),"Check sale amounts","OK")))</x:f>
      </x:c>
      <x:c r="K261" s="35" t="str">
        <x:f>IF(J261="","",IF(J261&lt;&gt;"OK","Fix row",IF(C261="Sale",E261*F261-G261,0)))</x:f>
      </x:c>
      <x:c r="L261" s="35" t="str">
        <x:f>IF(J261="","",IF(J261&lt;&gt;"OK","Fix row",IF(C261="Sale",K261-E261*H261,0)))</x:f>
      </x:c>
    </x:row>
    <x:row r="262" ht="27" customHeight="1">
      <x:c r="A262" s="40"/>
      <x:c r="B262" s="41"/>
      <x:c r="C262" s="41"/>
      <x:c r="D262" s="41"/>
      <x:c r="E262" s="41"/>
      <x:c r="F262" s="42"/>
      <x:c r="G262" s="42"/>
      <x:c r="H262" s="42"/>
      <x:c r="I262" s="41"/>
      <x:c r="J262" s="37" t="str">
        <x:f>IF(COUNTA(A262:I262)=0,"",IF(OR(NOT(ISNUMBER(A262)),B262="",AND(C262&lt;&gt;"Sale",C262&lt;&gt;"Purchase",C262&lt;&gt;"Adjustment"),COUNTIFS(Products!$A$6:$A$105,D262)&lt;&gt;1,NOT(ISNUMBER(E262)),E262=0,AND(C262&lt;&gt;"Adjustment",E262&lt;0)),"Check inputs",IF(AND(C262="Sale",OR(NOT(ISNUMBER(F262)),NOT(ISNUMBER(G262)),NOT(ISNUMBER(H262)),F262&lt;0,G262&lt;0,H262&lt;0,G262&gt;E262*F262)),"Check sale amounts","OK")))</x:f>
      </x:c>
      <x:c r="K262" s="38" t="str">
        <x:f>IF(J262="","",IF(J262&lt;&gt;"OK","Fix row",IF(C262="Sale",E262*F262-G262,0)))</x:f>
      </x:c>
      <x:c r="L262" s="38" t="str">
        <x:f>IF(J262="","",IF(J262&lt;&gt;"OK","Fix row",IF(C262="Sale",K262-E262*H262,0)))</x:f>
      </x:c>
    </x:row>
    <x:row r="263" ht="27" customHeight="1">
      <x:c r="A263" s="40"/>
      <x:c r="B263" s="41"/>
      <x:c r="C263" s="41"/>
      <x:c r="D263" s="41"/>
      <x:c r="E263" s="41"/>
      <x:c r="F263" s="42"/>
      <x:c r="G263" s="42"/>
      <x:c r="H263" s="42"/>
      <x:c r="I263" s="41"/>
      <x:c r="J263" s="34" t="str">
        <x:f>IF(COUNTA(A263:I263)=0,"",IF(OR(NOT(ISNUMBER(A263)),B263="",AND(C263&lt;&gt;"Sale",C263&lt;&gt;"Purchase",C263&lt;&gt;"Adjustment"),COUNTIFS(Products!$A$6:$A$105,D263)&lt;&gt;1,NOT(ISNUMBER(E263)),E263=0,AND(C263&lt;&gt;"Adjustment",E263&lt;0)),"Check inputs",IF(AND(C263="Sale",OR(NOT(ISNUMBER(F263)),NOT(ISNUMBER(G263)),NOT(ISNUMBER(H263)),F263&lt;0,G263&lt;0,H263&lt;0,G263&gt;E263*F263)),"Check sale amounts","OK")))</x:f>
      </x:c>
      <x:c r="K263" s="35" t="str">
        <x:f>IF(J263="","",IF(J263&lt;&gt;"OK","Fix row",IF(C263="Sale",E263*F263-G263,0)))</x:f>
      </x:c>
      <x:c r="L263" s="35" t="str">
        <x:f>IF(J263="","",IF(J263&lt;&gt;"OK","Fix row",IF(C263="Sale",K263-E263*H263,0)))</x:f>
      </x:c>
    </x:row>
    <x:row r="264" ht="27" customHeight="1">
      <x:c r="A264" s="40"/>
      <x:c r="B264" s="41"/>
      <x:c r="C264" s="41"/>
      <x:c r="D264" s="41"/>
      <x:c r="E264" s="41"/>
      <x:c r="F264" s="42"/>
      <x:c r="G264" s="42"/>
      <x:c r="H264" s="42"/>
      <x:c r="I264" s="41"/>
      <x:c r="J264" s="37" t="str">
        <x:f>IF(COUNTA(A264:I264)=0,"",IF(OR(NOT(ISNUMBER(A264)),B264="",AND(C264&lt;&gt;"Sale",C264&lt;&gt;"Purchase",C264&lt;&gt;"Adjustment"),COUNTIFS(Products!$A$6:$A$105,D264)&lt;&gt;1,NOT(ISNUMBER(E264)),E264=0,AND(C264&lt;&gt;"Adjustment",E264&lt;0)),"Check inputs",IF(AND(C264="Sale",OR(NOT(ISNUMBER(F264)),NOT(ISNUMBER(G264)),NOT(ISNUMBER(H264)),F264&lt;0,G264&lt;0,H264&lt;0,G264&gt;E264*F264)),"Check sale amounts","OK")))</x:f>
      </x:c>
      <x:c r="K264" s="38" t="str">
        <x:f>IF(J264="","",IF(J264&lt;&gt;"OK","Fix row",IF(C264="Sale",E264*F264-G264,0)))</x:f>
      </x:c>
      <x:c r="L264" s="38" t="str">
        <x:f>IF(J264="","",IF(J264&lt;&gt;"OK","Fix row",IF(C264="Sale",K264-E264*H264,0)))</x:f>
      </x:c>
    </x:row>
    <x:row r="265" ht="27" customHeight="1">
      <x:c r="A265" s="40"/>
      <x:c r="B265" s="41"/>
      <x:c r="C265" s="41"/>
      <x:c r="D265" s="41"/>
      <x:c r="E265" s="41"/>
      <x:c r="F265" s="42"/>
      <x:c r="G265" s="42"/>
      <x:c r="H265" s="42"/>
      <x:c r="I265" s="41"/>
      <x:c r="J265" s="34" t="str">
        <x:f>IF(COUNTA(A265:I265)=0,"",IF(OR(NOT(ISNUMBER(A265)),B265="",AND(C265&lt;&gt;"Sale",C265&lt;&gt;"Purchase",C265&lt;&gt;"Adjustment"),COUNTIFS(Products!$A$6:$A$105,D265)&lt;&gt;1,NOT(ISNUMBER(E265)),E265=0,AND(C265&lt;&gt;"Adjustment",E265&lt;0)),"Check inputs",IF(AND(C265="Sale",OR(NOT(ISNUMBER(F265)),NOT(ISNUMBER(G265)),NOT(ISNUMBER(H265)),F265&lt;0,G265&lt;0,H265&lt;0,G265&gt;E265*F265)),"Check sale amounts","OK")))</x:f>
      </x:c>
      <x:c r="K265" s="35" t="str">
        <x:f>IF(J265="","",IF(J265&lt;&gt;"OK","Fix row",IF(C265="Sale",E265*F265-G265,0)))</x:f>
      </x:c>
      <x:c r="L265" s="35" t="str">
        <x:f>IF(J265="","",IF(J265&lt;&gt;"OK","Fix row",IF(C265="Sale",K265-E265*H265,0)))</x:f>
      </x:c>
    </x:row>
    <x:row r="266" ht="27" customHeight="1">
      <x:c r="A266" s="40"/>
      <x:c r="B266" s="41"/>
      <x:c r="C266" s="41"/>
      <x:c r="D266" s="41"/>
      <x:c r="E266" s="41"/>
      <x:c r="F266" s="42"/>
      <x:c r="G266" s="42"/>
      <x:c r="H266" s="42"/>
      <x:c r="I266" s="41"/>
      <x:c r="J266" s="37" t="str">
        <x:f>IF(COUNTA(A266:I266)=0,"",IF(OR(NOT(ISNUMBER(A266)),B266="",AND(C266&lt;&gt;"Sale",C266&lt;&gt;"Purchase",C266&lt;&gt;"Adjustment"),COUNTIFS(Products!$A$6:$A$105,D266)&lt;&gt;1,NOT(ISNUMBER(E266)),E266=0,AND(C266&lt;&gt;"Adjustment",E266&lt;0)),"Check inputs",IF(AND(C266="Sale",OR(NOT(ISNUMBER(F266)),NOT(ISNUMBER(G266)),NOT(ISNUMBER(H266)),F266&lt;0,G266&lt;0,H266&lt;0,G266&gt;E266*F266)),"Check sale amounts","OK")))</x:f>
      </x:c>
      <x:c r="K266" s="38" t="str">
        <x:f>IF(J266="","",IF(J266&lt;&gt;"OK","Fix row",IF(C266="Sale",E266*F266-G266,0)))</x:f>
      </x:c>
      <x:c r="L266" s="38" t="str">
        <x:f>IF(J266="","",IF(J266&lt;&gt;"OK","Fix row",IF(C266="Sale",K266-E266*H266,0)))</x:f>
      </x:c>
    </x:row>
    <x:row r="267" ht="27" customHeight="1">
      <x:c r="A267" s="40"/>
      <x:c r="B267" s="41"/>
      <x:c r="C267" s="41"/>
      <x:c r="D267" s="41"/>
      <x:c r="E267" s="41"/>
      <x:c r="F267" s="42"/>
      <x:c r="G267" s="42"/>
      <x:c r="H267" s="42"/>
      <x:c r="I267" s="41"/>
      <x:c r="J267" s="34" t="str">
        <x:f>IF(COUNTA(A267:I267)=0,"",IF(OR(NOT(ISNUMBER(A267)),B267="",AND(C267&lt;&gt;"Sale",C267&lt;&gt;"Purchase",C267&lt;&gt;"Adjustment"),COUNTIFS(Products!$A$6:$A$105,D267)&lt;&gt;1,NOT(ISNUMBER(E267)),E267=0,AND(C267&lt;&gt;"Adjustment",E267&lt;0)),"Check inputs",IF(AND(C267="Sale",OR(NOT(ISNUMBER(F267)),NOT(ISNUMBER(G267)),NOT(ISNUMBER(H267)),F267&lt;0,G267&lt;0,H267&lt;0,G267&gt;E267*F267)),"Check sale amounts","OK")))</x:f>
      </x:c>
      <x:c r="K267" s="35" t="str">
        <x:f>IF(J267="","",IF(J267&lt;&gt;"OK","Fix row",IF(C267="Sale",E267*F267-G267,0)))</x:f>
      </x:c>
      <x:c r="L267" s="35" t="str">
        <x:f>IF(J267="","",IF(J267&lt;&gt;"OK","Fix row",IF(C267="Sale",K267-E267*H267,0)))</x:f>
      </x:c>
    </x:row>
    <x:row r="268" ht="27" customHeight="1">
      <x:c r="A268" s="40"/>
      <x:c r="B268" s="41"/>
      <x:c r="C268" s="41"/>
      <x:c r="D268" s="41"/>
      <x:c r="E268" s="41"/>
      <x:c r="F268" s="42"/>
      <x:c r="G268" s="42"/>
      <x:c r="H268" s="42"/>
      <x:c r="I268" s="41"/>
      <x:c r="J268" s="37" t="str">
        <x:f>IF(COUNTA(A268:I268)=0,"",IF(OR(NOT(ISNUMBER(A268)),B268="",AND(C268&lt;&gt;"Sale",C268&lt;&gt;"Purchase",C268&lt;&gt;"Adjustment"),COUNTIFS(Products!$A$6:$A$105,D268)&lt;&gt;1,NOT(ISNUMBER(E268)),E268=0,AND(C268&lt;&gt;"Adjustment",E268&lt;0)),"Check inputs",IF(AND(C268="Sale",OR(NOT(ISNUMBER(F268)),NOT(ISNUMBER(G268)),NOT(ISNUMBER(H268)),F268&lt;0,G268&lt;0,H268&lt;0,G268&gt;E268*F268)),"Check sale amounts","OK")))</x:f>
      </x:c>
      <x:c r="K268" s="38" t="str">
        <x:f>IF(J268="","",IF(J268&lt;&gt;"OK","Fix row",IF(C268="Sale",E268*F268-G268,0)))</x:f>
      </x:c>
      <x:c r="L268" s="38" t="str">
        <x:f>IF(J268="","",IF(J268&lt;&gt;"OK","Fix row",IF(C268="Sale",K268-E268*H268,0)))</x:f>
      </x:c>
    </x:row>
    <x:row r="269" ht="27" customHeight="1">
      <x:c r="A269" s="40"/>
      <x:c r="B269" s="41"/>
      <x:c r="C269" s="41"/>
      <x:c r="D269" s="41"/>
      <x:c r="E269" s="41"/>
      <x:c r="F269" s="42"/>
      <x:c r="G269" s="42"/>
      <x:c r="H269" s="42"/>
      <x:c r="I269" s="41"/>
      <x:c r="J269" s="34" t="str">
        <x:f>IF(COUNTA(A269:I269)=0,"",IF(OR(NOT(ISNUMBER(A269)),B269="",AND(C269&lt;&gt;"Sale",C269&lt;&gt;"Purchase",C269&lt;&gt;"Adjustment"),COUNTIFS(Products!$A$6:$A$105,D269)&lt;&gt;1,NOT(ISNUMBER(E269)),E269=0,AND(C269&lt;&gt;"Adjustment",E269&lt;0)),"Check inputs",IF(AND(C269="Sale",OR(NOT(ISNUMBER(F269)),NOT(ISNUMBER(G269)),NOT(ISNUMBER(H269)),F269&lt;0,G269&lt;0,H269&lt;0,G269&gt;E269*F269)),"Check sale amounts","OK")))</x:f>
      </x:c>
      <x:c r="K269" s="35" t="str">
        <x:f>IF(J269="","",IF(J269&lt;&gt;"OK","Fix row",IF(C269="Sale",E269*F269-G269,0)))</x:f>
      </x:c>
      <x:c r="L269" s="35" t="str">
        <x:f>IF(J269="","",IF(J269&lt;&gt;"OK","Fix row",IF(C269="Sale",K269-E269*H269,0)))</x:f>
      </x:c>
    </x:row>
    <x:row r="270" ht="27" customHeight="1">
      <x:c r="A270" s="40"/>
      <x:c r="B270" s="41"/>
      <x:c r="C270" s="41"/>
      <x:c r="D270" s="41"/>
      <x:c r="E270" s="41"/>
      <x:c r="F270" s="42"/>
      <x:c r="G270" s="42"/>
      <x:c r="H270" s="42"/>
      <x:c r="I270" s="41"/>
      <x:c r="J270" s="37" t="str">
        <x:f>IF(COUNTA(A270:I270)=0,"",IF(OR(NOT(ISNUMBER(A270)),B270="",AND(C270&lt;&gt;"Sale",C270&lt;&gt;"Purchase",C270&lt;&gt;"Adjustment"),COUNTIFS(Products!$A$6:$A$105,D270)&lt;&gt;1,NOT(ISNUMBER(E270)),E270=0,AND(C270&lt;&gt;"Adjustment",E270&lt;0)),"Check inputs",IF(AND(C270="Sale",OR(NOT(ISNUMBER(F270)),NOT(ISNUMBER(G270)),NOT(ISNUMBER(H270)),F270&lt;0,G270&lt;0,H270&lt;0,G270&gt;E270*F270)),"Check sale amounts","OK")))</x:f>
      </x:c>
      <x:c r="K270" s="38" t="str">
        <x:f>IF(J270="","",IF(J270&lt;&gt;"OK","Fix row",IF(C270="Sale",E270*F270-G270,0)))</x:f>
      </x:c>
      <x:c r="L270" s="38" t="str">
        <x:f>IF(J270="","",IF(J270&lt;&gt;"OK","Fix row",IF(C270="Sale",K270-E270*H270,0)))</x:f>
      </x:c>
    </x:row>
    <x:row r="271" ht="27" customHeight="1">
      <x:c r="A271" s="40"/>
      <x:c r="B271" s="41"/>
      <x:c r="C271" s="41"/>
      <x:c r="D271" s="41"/>
      <x:c r="E271" s="41"/>
      <x:c r="F271" s="42"/>
      <x:c r="G271" s="42"/>
      <x:c r="H271" s="42"/>
      <x:c r="I271" s="41"/>
      <x:c r="J271" s="34" t="str">
        <x:f>IF(COUNTA(A271:I271)=0,"",IF(OR(NOT(ISNUMBER(A271)),B271="",AND(C271&lt;&gt;"Sale",C271&lt;&gt;"Purchase",C271&lt;&gt;"Adjustment"),COUNTIFS(Products!$A$6:$A$105,D271)&lt;&gt;1,NOT(ISNUMBER(E271)),E271=0,AND(C271&lt;&gt;"Adjustment",E271&lt;0)),"Check inputs",IF(AND(C271="Sale",OR(NOT(ISNUMBER(F271)),NOT(ISNUMBER(G271)),NOT(ISNUMBER(H271)),F271&lt;0,G271&lt;0,H271&lt;0,G271&gt;E271*F271)),"Check sale amounts","OK")))</x:f>
      </x:c>
      <x:c r="K271" s="35" t="str">
        <x:f>IF(J271="","",IF(J271&lt;&gt;"OK","Fix row",IF(C271="Sale",E271*F271-G271,0)))</x:f>
      </x:c>
      <x:c r="L271" s="35" t="str">
        <x:f>IF(J271="","",IF(J271&lt;&gt;"OK","Fix row",IF(C271="Sale",K271-E271*H271,0)))</x:f>
      </x:c>
    </x:row>
    <x:row r="272" ht="27" customHeight="1">
      <x:c r="A272" s="40"/>
      <x:c r="B272" s="41"/>
      <x:c r="C272" s="41"/>
      <x:c r="D272" s="41"/>
      <x:c r="E272" s="41"/>
      <x:c r="F272" s="42"/>
      <x:c r="G272" s="42"/>
      <x:c r="H272" s="42"/>
      <x:c r="I272" s="41"/>
      <x:c r="J272" s="37" t="str">
        <x:f>IF(COUNTA(A272:I272)=0,"",IF(OR(NOT(ISNUMBER(A272)),B272="",AND(C272&lt;&gt;"Sale",C272&lt;&gt;"Purchase",C272&lt;&gt;"Adjustment"),COUNTIFS(Products!$A$6:$A$105,D272)&lt;&gt;1,NOT(ISNUMBER(E272)),E272=0,AND(C272&lt;&gt;"Adjustment",E272&lt;0)),"Check inputs",IF(AND(C272="Sale",OR(NOT(ISNUMBER(F272)),NOT(ISNUMBER(G272)),NOT(ISNUMBER(H272)),F272&lt;0,G272&lt;0,H272&lt;0,G272&gt;E272*F272)),"Check sale amounts","OK")))</x:f>
      </x:c>
      <x:c r="K272" s="38" t="str">
        <x:f>IF(J272="","",IF(J272&lt;&gt;"OK","Fix row",IF(C272="Sale",E272*F272-G272,0)))</x:f>
      </x:c>
      <x:c r="L272" s="38" t="str">
        <x:f>IF(J272="","",IF(J272&lt;&gt;"OK","Fix row",IF(C272="Sale",K272-E272*H272,0)))</x:f>
      </x:c>
    </x:row>
    <x:row r="273" ht="27" customHeight="1">
      <x:c r="A273" s="40"/>
      <x:c r="B273" s="41"/>
      <x:c r="C273" s="41"/>
      <x:c r="D273" s="41"/>
      <x:c r="E273" s="41"/>
      <x:c r="F273" s="42"/>
      <x:c r="G273" s="42"/>
      <x:c r="H273" s="42"/>
      <x:c r="I273" s="41"/>
      <x:c r="J273" s="34" t="str">
        <x:f>IF(COUNTA(A273:I273)=0,"",IF(OR(NOT(ISNUMBER(A273)),B273="",AND(C273&lt;&gt;"Sale",C273&lt;&gt;"Purchase",C273&lt;&gt;"Adjustment"),COUNTIFS(Products!$A$6:$A$105,D273)&lt;&gt;1,NOT(ISNUMBER(E273)),E273=0,AND(C273&lt;&gt;"Adjustment",E273&lt;0)),"Check inputs",IF(AND(C273="Sale",OR(NOT(ISNUMBER(F273)),NOT(ISNUMBER(G273)),NOT(ISNUMBER(H273)),F273&lt;0,G273&lt;0,H273&lt;0,G273&gt;E273*F273)),"Check sale amounts","OK")))</x:f>
      </x:c>
      <x:c r="K273" s="35" t="str">
        <x:f>IF(J273="","",IF(J273&lt;&gt;"OK","Fix row",IF(C273="Sale",E273*F273-G273,0)))</x:f>
      </x:c>
      <x:c r="L273" s="35" t="str">
        <x:f>IF(J273="","",IF(J273&lt;&gt;"OK","Fix row",IF(C273="Sale",K273-E273*H273,0)))</x:f>
      </x:c>
    </x:row>
    <x:row r="274" ht="27" customHeight="1">
      <x:c r="A274" s="40"/>
      <x:c r="B274" s="41"/>
      <x:c r="C274" s="41"/>
      <x:c r="D274" s="41"/>
      <x:c r="E274" s="41"/>
      <x:c r="F274" s="42"/>
      <x:c r="G274" s="42"/>
      <x:c r="H274" s="42"/>
      <x:c r="I274" s="41"/>
      <x:c r="J274" s="37" t="str">
        <x:f>IF(COUNTA(A274:I274)=0,"",IF(OR(NOT(ISNUMBER(A274)),B274="",AND(C274&lt;&gt;"Sale",C274&lt;&gt;"Purchase",C274&lt;&gt;"Adjustment"),COUNTIFS(Products!$A$6:$A$105,D274)&lt;&gt;1,NOT(ISNUMBER(E274)),E274=0,AND(C274&lt;&gt;"Adjustment",E274&lt;0)),"Check inputs",IF(AND(C274="Sale",OR(NOT(ISNUMBER(F274)),NOT(ISNUMBER(G274)),NOT(ISNUMBER(H274)),F274&lt;0,G274&lt;0,H274&lt;0,G274&gt;E274*F274)),"Check sale amounts","OK")))</x:f>
      </x:c>
      <x:c r="K274" s="38" t="str">
        <x:f>IF(J274="","",IF(J274&lt;&gt;"OK","Fix row",IF(C274="Sale",E274*F274-G274,0)))</x:f>
      </x:c>
      <x:c r="L274" s="38" t="str">
        <x:f>IF(J274="","",IF(J274&lt;&gt;"OK","Fix row",IF(C274="Sale",K274-E274*H274,0)))</x:f>
      </x:c>
    </x:row>
    <x:row r="275" ht="27" customHeight="1">
      <x:c r="A275" s="40"/>
      <x:c r="B275" s="41"/>
      <x:c r="C275" s="41"/>
      <x:c r="D275" s="41"/>
      <x:c r="E275" s="41"/>
      <x:c r="F275" s="42"/>
      <x:c r="G275" s="42"/>
      <x:c r="H275" s="42"/>
      <x:c r="I275" s="41"/>
      <x:c r="J275" s="34" t="str">
        <x:f>IF(COUNTA(A275:I275)=0,"",IF(OR(NOT(ISNUMBER(A275)),B275="",AND(C275&lt;&gt;"Sale",C275&lt;&gt;"Purchase",C275&lt;&gt;"Adjustment"),COUNTIFS(Products!$A$6:$A$105,D275)&lt;&gt;1,NOT(ISNUMBER(E275)),E275=0,AND(C275&lt;&gt;"Adjustment",E275&lt;0)),"Check inputs",IF(AND(C275="Sale",OR(NOT(ISNUMBER(F275)),NOT(ISNUMBER(G275)),NOT(ISNUMBER(H275)),F275&lt;0,G275&lt;0,H275&lt;0,G275&gt;E275*F275)),"Check sale amounts","OK")))</x:f>
      </x:c>
      <x:c r="K275" s="35" t="str">
        <x:f>IF(J275="","",IF(J275&lt;&gt;"OK","Fix row",IF(C275="Sale",E275*F275-G275,0)))</x:f>
      </x:c>
      <x:c r="L275" s="35" t="str">
        <x:f>IF(J275="","",IF(J275&lt;&gt;"OK","Fix row",IF(C275="Sale",K275-E275*H275,0)))</x:f>
      </x:c>
    </x:row>
    <x:row r="276" ht="27" customHeight="1">
      <x:c r="A276" s="40"/>
      <x:c r="B276" s="41"/>
      <x:c r="C276" s="41"/>
      <x:c r="D276" s="41"/>
      <x:c r="E276" s="41"/>
      <x:c r="F276" s="42"/>
      <x:c r="G276" s="42"/>
      <x:c r="H276" s="42"/>
      <x:c r="I276" s="41"/>
      <x:c r="J276" s="37" t="str">
        <x:f>IF(COUNTA(A276:I276)=0,"",IF(OR(NOT(ISNUMBER(A276)),B276="",AND(C276&lt;&gt;"Sale",C276&lt;&gt;"Purchase",C276&lt;&gt;"Adjustment"),COUNTIFS(Products!$A$6:$A$105,D276)&lt;&gt;1,NOT(ISNUMBER(E276)),E276=0,AND(C276&lt;&gt;"Adjustment",E276&lt;0)),"Check inputs",IF(AND(C276="Sale",OR(NOT(ISNUMBER(F276)),NOT(ISNUMBER(G276)),NOT(ISNUMBER(H276)),F276&lt;0,G276&lt;0,H276&lt;0,G276&gt;E276*F276)),"Check sale amounts","OK")))</x:f>
      </x:c>
      <x:c r="K276" s="38" t="str">
        <x:f>IF(J276="","",IF(J276&lt;&gt;"OK","Fix row",IF(C276="Sale",E276*F276-G276,0)))</x:f>
      </x:c>
      <x:c r="L276" s="38" t="str">
        <x:f>IF(J276="","",IF(J276&lt;&gt;"OK","Fix row",IF(C276="Sale",K276-E276*H276,0)))</x:f>
      </x:c>
    </x:row>
    <x:row r="277" ht="27" customHeight="1">
      <x:c r="A277" s="40"/>
      <x:c r="B277" s="41"/>
      <x:c r="C277" s="41"/>
      <x:c r="D277" s="41"/>
      <x:c r="E277" s="41"/>
      <x:c r="F277" s="42"/>
      <x:c r="G277" s="42"/>
      <x:c r="H277" s="42"/>
      <x:c r="I277" s="41"/>
      <x:c r="J277" s="34" t="str">
        <x:f>IF(COUNTA(A277:I277)=0,"",IF(OR(NOT(ISNUMBER(A277)),B277="",AND(C277&lt;&gt;"Sale",C277&lt;&gt;"Purchase",C277&lt;&gt;"Adjustment"),COUNTIFS(Products!$A$6:$A$105,D277)&lt;&gt;1,NOT(ISNUMBER(E277)),E277=0,AND(C277&lt;&gt;"Adjustment",E277&lt;0)),"Check inputs",IF(AND(C277="Sale",OR(NOT(ISNUMBER(F277)),NOT(ISNUMBER(G277)),NOT(ISNUMBER(H277)),F277&lt;0,G277&lt;0,H277&lt;0,G277&gt;E277*F277)),"Check sale amounts","OK")))</x:f>
      </x:c>
      <x:c r="K277" s="35" t="str">
        <x:f>IF(J277="","",IF(J277&lt;&gt;"OK","Fix row",IF(C277="Sale",E277*F277-G277,0)))</x:f>
      </x:c>
      <x:c r="L277" s="35" t="str">
        <x:f>IF(J277="","",IF(J277&lt;&gt;"OK","Fix row",IF(C277="Sale",K277-E277*H277,0)))</x:f>
      </x:c>
    </x:row>
    <x:row r="278" ht="27" customHeight="1">
      <x:c r="A278" s="40"/>
      <x:c r="B278" s="41"/>
      <x:c r="C278" s="41"/>
      <x:c r="D278" s="41"/>
      <x:c r="E278" s="41"/>
      <x:c r="F278" s="42"/>
      <x:c r="G278" s="42"/>
      <x:c r="H278" s="42"/>
      <x:c r="I278" s="41"/>
      <x:c r="J278" s="37" t="str">
        <x:f>IF(COUNTA(A278:I278)=0,"",IF(OR(NOT(ISNUMBER(A278)),B278="",AND(C278&lt;&gt;"Sale",C278&lt;&gt;"Purchase",C278&lt;&gt;"Adjustment"),COUNTIFS(Products!$A$6:$A$105,D278)&lt;&gt;1,NOT(ISNUMBER(E278)),E278=0,AND(C278&lt;&gt;"Adjustment",E278&lt;0)),"Check inputs",IF(AND(C278="Sale",OR(NOT(ISNUMBER(F278)),NOT(ISNUMBER(G278)),NOT(ISNUMBER(H278)),F278&lt;0,G278&lt;0,H278&lt;0,G278&gt;E278*F278)),"Check sale amounts","OK")))</x:f>
      </x:c>
      <x:c r="K278" s="38" t="str">
        <x:f>IF(J278="","",IF(J278&lt;&gt;"OK","Fix row",IF(C278="Sale",E278*F278-G278,0)))</x:f>
      </x:c>
      <x:c r="L278" s="38" t="str">
        <x:f>IF(J278="","",IF(J278&lt;&gt;"OK","Fix row",IF(C278="Sale",K278-E278*H278,0)))</x:f>
      </x:c>
    </x:row>
    <x:row r="279" ht="27" customHeight="1">
      <x:c r="A279" s="40"/>
      <x:c r="B279" s="41"/>
      <x:c r="C279" s="41"/>
      <x:c r="D279" s="41"/>
      <x:c r="E279" s="41"/>
      <x:c r="F279" s="42"/>
      <x:c r="G279" s="42"/>
      <x:c r="H279" s="42"/>
      <x:c r="I279" s="41"/>
      <x:c r="J279" s="34" t="str">
        <x:f>IF(COUNTA(A279:I279)=0,"",IF(OR(NOT(ISNUMBER(A279)),B279="",AND(C279&lt;&gt;"Sale",C279&lt;&gt;"Purchase",C279&lt;&gt;"Adjustment"),COUNTIFS(Products!$A$6:$A$105,D279)&lt;&gt;1,NOT(ISNUMBER(E279)),E279=0,AND(C279&lt;&gt;"Adjustment",E279&lt;0)),"Check inputs",IF(AND(C279="Sale",OR(NOT(ISNUMBER(F279)),NOT(ISNUMBER(G279)),NOT(ISNUMBER(H279)),F279&lt;0,G279&lt;0,H279&lt;0,G279&gt;E279*F279)),"Check sale amounts","OK")))</x:f>
      </x:c>
      <x:c r="K279" s="35" t="str">
        <x:f>IF(J279="","",IF(J279&lt;&gt;"OK","Fix row",IF(C279="Sale",E279*F279-G279,0)))</x:f>
      </x:c>
      <x:c r="L279" s="35" t="str">
        <x:f>IF(J279="","",IF(J279&lt;&gt;"OK","Fix row",IF(C279="Sale",K279-E279*H279,0)))</x:f>
      </x:c>
    </x:row>
    <x:row r="280" ht="27" customHeight="1">
      <x:c r="A280" s="40"/>
      <x:c r="B280" s="41"/>
      <x:c r="C280" s="41"/>
      <x:c r="D280" s="41"/>
      <x:c r="E280" s="41"/>
      <x:c r="F280" s="42"/>
      <x:c r="G280" s="42"/>
      <x:c r="H280" s="42"/>
      <x:c r="I280" s="41"/>
      <x:c r="J280" s="37" t="str">
        <x:f>IF(COUNTA(A280:I280)=0,"",IF(OR(NOT(ISNUMBER(A280)),B280="",AND(C280&lt;&gt;"Sale",C280&lt;&gt;"Purchase",C280&lt;&gt;"Adjustment"),COUNTIFS(Products!$A$6:$A$105,D280)&lt;&gt;1,NOT(ISNUMBER(E280)),E280=0,AND(C280&lt;&gt;"Adjustment",E280&lt;0)),"Check inputs",IF(AND(C280="Sale",OR(NOT(ISNUMBER(F280)),NOT(ISNUMBER(G280)),NOT(ISNUMBER(H280)),F280&lt;0,G280&lt;0,H280&lt;0,G280&gt;E280*F280)),"Check sale amounts","OK")))</x:f>
      </x:c>
      <x:c r="K280" s="38" t="str">
        <x:f>IF(J280="","",IF(J280&lt;&gt;"OK","Fix row",IF(C280="Sale",E280*F280-G280,0)))</x:f>
      </x:c>
      <x:c r="L280" s="38" t="str">
        <x:f>IF(J280="","",IF(J280&lt;&gt;"OK","Fix row",IF(C280="Sale",K280-E280*H280,0)))</x:f>
      </x:c>
    </x:row>
    <x:row r="281" ht="27" customHeight="1">
      <x:c r="A281" s="40"/>
      <x:c r="B281" s="41"/>
      <x:c r="C281" s="41"/>
      <x:c r="D281" s="41"/>
      <x:c r="E281" s="41"/>
      <x:c r="F281" s="42"/>
      <x:c r="G281" s="42"/>
      <x:c r="H281" s="42"/>
      <x:c r="I281" s="41"/>
      <x:c r="J281" s="34" t="str">
        <x:f>IF(COUNTA(A281:I281)=0,"",IF(OR(NOT(ISNUMBER(A281)),B281="",AND(C281&lt;&gt;"Sale",C281&lt;&gt;"Purchase",C281&lt;&gt;"Adjustment"),COUNTIFS(Products!$A$6:$A$105,D281)&lt;&gt;1,NOT(ISNUMBER(E281)),E281=0,AND(C281&lt;&gt;"Adjustment",E281&lt;0)),"Check inputs",IF(AND(C281="Sale",OR(NOT(ISNUMBER(F281)),NOT(ISNUMBER(G281)),NOT(ISNUMBER(H281)),F281&lt;0,G281&lt;0,H281&lt;0,G281&gt;E281*F281)),"Check sale amounts","OK")))</x:f>
      </x:c>
      <x:c r="K281" s="35" t="str">
        <x:f>IF(J281="","",IF(J281&lt;&gt;"OK","Fix row",IF(C281="Sale",E281*F281-G281,0)))</x:f>
      </x:c>
      <x:c r="L281" s="35" t="str">
        <x:f>IF(J281="","",IF(J281&lt;&gt;"OK","Fix row",IF(C281="Sale",K281-E281*H281,0)))</x:f>
      </x:c>
    </x:row>
    <x:row r="282" ht="27" customHeight="1">
      <x:c r="A282" s="40"/>
      <x:c r="B282" s="41"/>
      <x:c r="C282" s="41"/>
      <x:c r="D282" s="41"/>
      <x:c r="E282" s="41"/>
      <x:c r="F282" s="42"/>
      <x:c r="G282" s="42"/>
      <x:c r="H282" s="42"/>
      <x:c r="I282" s="41"/>
      <x:c r="J282" s="37" t="str">
        <x:f>IF(COUNTA(A282:I282)=0,"",IF(OR(NOT(ISNUMBER(A282)),B282="",AND(C282&lt;&gt;"Sale",C282&lt;&gt;"Purchase",C282&lt;&gt;"Adjustment"),COUNTIFS(Products!$A$6:$A$105,D282)&lt;&gt;1,NOT(ISNUMBER(E282)),E282=0,AND(C282&lt;&gt;"Adjustment",E282&lt;0)),"Check inputs",IF(AND(C282="Sale",OR(NOT(ISNUMBER(F282)),NOT(ISNUMBER(G282)),NOT(ISNUMBER(H282)),F282&lt;0,G282&lt;0,H282&lt;0,G282&gt;E282*F282)),"Check sale amounts","OK")))</x:f>
      </x:c>
      <x:c r="K282" s="38" t="str">
        <x:f>IF(J282="","",IF(J282&lt;&gt;"OK","Fix row",IF(C282="Sale",E282*F282-G282,0)))</x:f>
      </x:c>
      <x:c r="L282" s="38" t="str">
        <x:f>IF(J282="","",IF(J282&lt;&gt;"OK","Fix row",IF(C282="Sale",K282-E282*H282,0)))</x:f>
      </x:c>
    </x:row>
    <x:row r="283" ht="27" customHeight="1">
      <x:c r="A283" s="40"/>
      <x:c r="B283" s="41"/>
      <x:c r="C283" s="41"/>
      <x:c r="D283" s="41"/>
      <x:c r="E283" s="41"/>
      <x:c r="F283" s="42"/>
      <x:c r="G283" s="42"/>
      <x:c r="H283" s="42"/>
      <x:c r="I283" s="41"/>
      <x:c r="J283" s="34" t="str">
        <x:f>IF(COUNTA(A283:I283)=0,"",IF(OR(NOT(ISNUMBER(A283)),B283="",AND(C283&lt;&gt;"Sale",C283&lt;&gt;"Purchase",C283&lt;&gt;"Adjustment"),COUNTIFS(Products!$A$6:$A$105,D283)&lt;&gt;1,NOT(ISNUMBER(E283)),E283=0,AND(C283&lt;&gt;"Adjustment",E283&lt;0)),"Check inputs",IF(AND(C283="Sale",OR(NOT(ISNUMBER(F283)),NOT(ISNUMBER(G283)),NOT(ISNUMBER(H283)),F283&lt;0,G283&lt;0,H283&lt;0,G283&gt;E283*F283)),"Check sale amounts","OK")))</x:f>
      </x:c>
      <x:c r="K283" s="35" t="str">
        <x:f>IF(J283="","",IF(J283&lt;&gt;"OK","Fix row",IF(C283="Sale",E283*F283-G283,0)))</x:f>
      </x:c>
      <x:c r="L283" s="35" t="str">
        <x:f>IF(J283="","",IF(J283&lt;&gt;"OK","Fix row",IF(C283="Sale",K283-E283*H283,0)))</x:f>
      </x:c>
    </x:row>
    <x:row r="284" ht="27" customHeight="1">
      <x:c r="A284" s="40"/>
      <x:c r="B284" s="41"/>
      <x:c r="C284" s="41"/>
      <x:c r="D284" s="41"/>
      <x:c r="E284" s="41"/>
      <x:c r="F284" s="42"/>
      <x:c r="G284" s="42"/>
      <x:c r="H284" s="42"/>
      <x:c r="I284" s="41"/>
      <x:c r="J284" s="37" t="str">
        <x:f>IF(COUNTA(A284:I284)=0,"",IF(OR(NOT(ISNUMBER(A284)),B284="",AND(C284&lt;&gt;"Sale",C284&lt;&gt;"Purchase",C284&lt;&gt;"Adjustment"),COUNTIFS(Products!$A$6:$A$105,D284)&lt;&gt;1,NOT(ISNUMBER(E284)),E284=0,AND(C284&lt;&gt;"Adjustment",E284&lt;0)),"Check inputs",IF(AND(C284="Sale",OR(NOT(ISNUMBER(F284)),NOT(ISNUMBER(G284)),NOT(ISNUMBER(H284)),F284&lt;0,G284&lt;0,H284&lt;0,G284&gt;E284*F284)),"Check sale amounts","OK")))</x:f>
      </x:c>
      <x:c r="K284" s="38" t="str">
        <x:f>IF(J284="","",IF(J284&lt;&gt;"OK","Fix row",IF(C284="Sale",E284*F284-G284,0)))</x:f>
      </x:c>
      <x:c r="L284" s="38" t="str">
        <x:f>IF(J284="","",IF(J284&lt;&gt;"OK","Fix row",IF(C284="Sale",K284-E284*H284,0)))</x:f>
      </x:c>
    </x:row>
    <x:row r="285" ht="27" customHeight="1">
      <x:c r="A285" s="40"/>
      <x:c r="B285" s="41"/>
      <x:c r="C285" s="41"/>
      <x:c r="D285" s="41"/>
      <x:c r="E285" s="41"/>
      <x:c r="F285" s="42"/>
      <x:c r="G285" s="42"/>
      <x:c r="H285" s="42"/>
      <x:c r="I285" s="41"/>
      <x:c r="J285" s="34" t="str">
        <x:f>IF(COUNTA(A285:I285)=0,"",IF(OR(NOT(ISNUMBER(A285)),B285="",AND(C285&lt;&gt;"Sale",C285&lt;&gt;"Purchase",C285&lt;&gt;"Adjustment"),COUNTIFS(Products!$A$6:$A$105,D285)&lt;&gt;1,NOT(ISNUMBER(E285)),E285=0,AND(C285&lt;&gt;"Adjustment",E285&lt;0)),"Check inputs",IF(AND(C285="Sale",OR(NOT(ISNUMBER(F285)),NOT(ISNUMBER(G285)),NOT(ISNUMBER(H285)),F285&lt;0,G285&lt;0,H285&lt;0,G285&gt;E285*F285)),"Check sale amounts","OK")))</x:f>
      </x:c>
      <x:c r="K285" s="35" t="str">
        <x:f>IF(J285="","",IF(J285&lt;&gt;"OK","Fix row",IF(C285="Sale",E285*F285-G285,0)))</x:f>
      </x:c>
      <x:c r="L285" s="35" t="str">
        <x:f>IF(J285="","",IF(J285&lt;&gt;"OK","Fix row",IF(C285="Sale",K285-E285*H285,0)))</x:f>
      </x:c>
    </x:row>
    <x:row r="286" ht="27" customHeight="1">
      <x:c r="A286" s="40"/>
      <x:c r="B286" s="41"/>
      <x:c r="C286" s="41"/>
      <x:c r="D286" s="41"/>
      <x:c r="E286" s="41"/>
      <x:c r="F286" s="42"/>
      <x:c r="G286" s="42"/>
      <x:c r="H286" s="42"/>
      <x:c r="I286" s="41"/>
      <x:c r="J286" s="37" t="str">
        <x:f>IF(COUNTA(A286:I286)=0,"",IF(OR(NOT(ISNUMBER(A286)),B286="",AND(C286&lt;&gt;"Sale",C286&lt;&gt;"Purchase",C286&lt;&gt;"Adjustment"),COUNTIFS(Products!$A$6:$A$105,D286)&lt;&gt;1,NOT(ISNUMBER(E286)),E286=0,AND(C286&lt;&gt;"Adjustment",E286&lt;0)),"Check inputs",IF(AND(C286="Sale",OR(NOT(ISNUMBER(F286)),NOT(ISNUMBER(G286)),NOT(ISNUMBER(H286)),F286&lt;0,G286&lt;0,H286&lt;0,G286&gt;E286*F286)),"Check sale amounts","OK")))</x:f>
      </x:c>
      <x:c r="K286" s="38" t="str">
        <x:f>IF(J286="","",IF(J286&lt;&gt;"OK","Fix row",IF(C286="Sale",E286*F286-G286,0)))</x:f>
      </x:c>
      <x:c r="L286" s="38" t="str">
        <x:f>IF(J286="","",IF(J286&lt;&gt;"OK","Fix row",IF(C286="Sale",K286-E286*H286,0)))</x:f>
      </x:c>
    </x:row>
    <x:row r="287" ht="27" customHeight="1">
      <x:c r="A287" s="40"/>
      <x:c r="B287" s="41"/>
      <x:c r="C287" s="41"/>
      <x:c r="D287" s="41"/>
      <x:c r="E287" s="41"/>
      <x:c r="F287" s="42"/>
      <x:c r="G287" s="42"/>
      <x:c r="H287" s="42"/>
      <x:c r="I287" s="41"/>
      <x:c r="J287" s="34" t="str">
        <x:f>IF(COUNTA(A287:I287)=0,"",IF(OR(NOT(ISNUMBER(A287)),B287="",AND(C287&lt;&gt;"Sale",C287&lt;&gt;"Purchase",C287&lt;&gt;"Adjustment"),COUNTIFS(Products!$A$6:$A$105,D287)&lt;&gt;1,NOT(ISNUMBER(E287)),E287=0,AND(C287&lt;&gt;"Adjustment",E287&lt;0)),"Check inputs",IF(AND(C287="Sale",OR(NOT(ISNUMBER(F287)),NOT(ISNUMBER(G287)),NOT(ISNUMBER(H287)),F287&lt;0,G287&lt;0,H287&lt;0,G287&gt;E287*F287)),"Check sale amounts","OK")))</x:f>
      </x:c>
      <x:c r="K287" s="35" t="str">
        <x:f>IF(J287="","",IF(J287&lt;&gt;"OK","Fix row",IF(C287="Sale",E287*F287-G287,0)))</x:f>
      </x:c>
      <x:c r="L287" s="35" t="str">
        <x:f>IF(J287="","",IF(J287&lt;&gt;"OK","Fix row",IF(C287="Sale",K287-E287*H287,0)))</x:f>
      </x:c>
    </x:row>
    <x:row r="288" ht="27" customHeight="1">
      <x:c r="A288" s="40"/>
      <x:c r="B288" s="41"/>
      <x:c r="C288" s="41"/>
      <x:c r="D288" s="41"/>
      <x:c r="E288" s="41"/>
      <x:c r="F288" s="42"/>
      <x:c r="G288" s="42"/>
      <x:c r="H288" s="42"/>
      <x:c r="I288" s="41"/>
      <x:c r="J288" s="37" t="str">
        <x:f>IF(COUNTA(A288:I288)=0,"",IF(OR(NOT(ISNUMBER(A288)),B288="",AND(C288&lt;&gt;"Sale",C288&lt;&gt;"Purchase",C288&lt;&gt;"Adjustment"),COUNTIFS(Products!$A$6:$A$105,D288)&lt;&gt;1,NOT(ISNUMBER(E288)),E288=0,AND(C288&lt;&gt;"Adjustment",E288&lt;0)),"Check inputs",IF(AND(C288="Sale",OR(NOT(ISNUMBER(F288)),NOT(ISNUMBER(G288)),NOT(ISNUMBER(H288)),F288&lt;0,G288&lt;0,H288&lt;0,G288&gt;E288*F288)),"Check sale amounts","OK")))</x:f>
      </x:c>
      <x:c r="K288" s="38" t="str">
        <x:f>IF(J288="","",IF(J288&lt;&gt;"OK","Fix row",IF(C288="Sale",E288*F288-G288,0)))</x:f>
      </x:c>
      <x:c r="L288" s="38" t="str">
        <x:f>IF(J288="","",IF(J288&lt;&gt;"OK","Fix row",IF(C288="Sale",K288-E288*H288,0)))</x:f>
      </x:c>
    </x:row>
    <x:row r="289" ht="27" customHeight="1">
      <x:c r="A289" s="40"/>
      <x:c r="B289" s="41"/>
      <x:c r="C289" s="41"/>
      <x:c r="D289" s="41"/>
      <x:c r="E289" s="41"/>
      <x:c r="F289" s="42"/>
      <x:c r="G289" s="42"/>
      <x:c r="H289" s="42"/>
      <x:c r="I289" s="41"/>
      <x:c r="J289" s="34" t="str">
        <x:f>IF(COUNTA(A289:I289)=0,"",IF(OR(NOT(ISNUMBER(A289)),B289="",AND(C289&lt;&gt;"Sale",C289&lt;&gt;"Purchase",C289&lt;&gt;"Adjustment"),COUNTIFS(Products!$A$6:$A$105,D289)&lt;&gt;1,NOT(ISNUMBER(E289)),E289=0,AND(C289&lt;&gt;"Adjustment",E289&lt;0)),"Check inputs",IF(AND(C289="Sale",OR(NOT(ISNUMBER(F289)),NOT(ISNUMBER(G289)),NOT(ISNUMBER(H289)),F289&lt;0,G289&lt;0,H289&lt;0,G289&gt;E289*F289)),"Check sale amounts","OK")))</x:f>
      </x:c>
      <x:c r="K289" s="35" t="str">
        <x:f>IF(J289="","",IF(J289&lt;&gt;"OK","Fix row",IF(C289="Sale",E289*F289-G289,0)))</x:f>
      </x:c>
      <x:c r="L289" s="35" t="str">
        <x:f>IF(J289="","",IF(J289&lt;&gt;"OK","Fix row",IF(C289="Sale",K289-E289*H289,0)))</x:f>
      </x:c>
    </x:row>
    <x:row r="290" ht="27" customHeight="1">
      <x:c r="A290" s="40"/>
      <x:c r="B290" s="41"/>
      <x:c r="C290" s="41"/>
      <x:c r="D290" s="41"/>
      <x:c r="E290" s="41"/>
      <x:c r="F290" s="42"/>
      <x:c r="G290" s="42"/>
      <x:c r="H290" s="42"/>
      <x:c r="I290" s="41"/>
      <x:c r="J290" s="37" t="str">
        <x:f>IF(COUNTA(A290:I290)=0,"",IF(OR(NOT(ISNUMBER(A290)),B290="",AND(C290&lt;&gt;"Sale",C290&lt;&gt;"Purchase",C290&lt;&gt;"Adjustment"),COUNTIFS(Products!$A$6:$A$105,D290)&lt;&gt;1,NOT(ISNUMBER(E290)),E290=0,AND(C290&lt;&gt;"Adjustment",E290&lt;0)),"Check inputs",IF(AND(C290="Sale",OR(NOT(ISNUMBER(F290)),NOT(ISNUMBER(G290)),NOT(ISNUMBER(H290)),F290&lt;0,G290&lt;0,H290&lt;0,G290&gt;E290*F290)),"Check sale amounts","OK")))</x:f>
      </x:c>
      <x:c r="K290" s="38" t="str">
        <x:f>IF(J290="","",IF(J290&lt;&gt;"OK","Fix row",IF(C290="Sale",E290*F290-G290,0)))</x:f>
      </x:c>
      <x:c r="L290" s="38" t="str">
        <x:f>IF(J290="","",IF(J290&lt;&gt;"OK","Fix row",IF(C290="Sale",K290-E290*H290,0)))</x:f>
      </x:c>
    </x:row>
    <x:row r="291" ht="27" customHeight="1">
      <x:c r="A291" s="40"/>
      <x:c r="B291" s="41"/>
      <x:c r="C291" s="41"/>
      <x:c r="D291" s="41"/>
      <x:c r="E291" s="41"/>
      <x:c r="F291" s="42"/>
      <x:c r="G291" s="42"/>
      <x:c r="H291" s="42"/>
      <x:c r="I291" s="41"/>
      <x:c r="J291" s="34" t="str">
        <x:f>IF(COUNTA(A291:I291)=0,"",IF(OR(NOT(ISNUMBER(A291)),B291="",AND(C291&lt;&gt;"Sale",C291&lt;&gt;"Purchase",C291&lt;&gt;"Adjustment"),COUNTIFS(Products!$A$6:$A$105,D291)&lt;&gt;1,NOT(ISNUMBER(E291)),E291=0,AND(C291&lt;&gt;"Adjustment",E291&lt;0)),"Check inputs",IF(AND(C291="Sale",OR(NOT(ISNUMBER(F291)),NOT(ISNUMBER(G291)),NOT(ISNUMBER(H291)),F291&lt;0,G291&lt;0,H291&lt;0,G291&gt;E291*F291)),"Check sale amounts","OK")))</x:f>
      </x:c>
      <x:c r="K291" s="35" t="str">
        <x:f>IF(J291="","",IF(J291&lt;&gt;"OK","Fix row",IF(C291="Sale",E291*F291-G291,0)))</x:f>
      </x:c>
      <x:c r="L291" s="35" t="str">
        <x:f>IF(J291="","",IF(J291&lt;&gt;"OK","Fix row",IF(C291="Sale",K291-E291*H291,0)))</x:f>
      </x:c>
    </x:row>
    <x:row r="292" ht="27" customHeight="1">
      <x:c r="A292" s="40"/>
      <x:c r="B292" s="41"/>
      <x:c r="C292" s="41"/>
      <x:c r="D292" s="41"/>
      <x:c r="E292" s="41"/>
      <x:c r="F292" s="42"/>
      <x:c r="G292" s="42"/>
      <x:c r="H292" s="42"/>
      <x:c r="I292" s="41"/>
      <x:c r="J292" s="37" t="str">
        <x:f>IF(COUNTA(A292:I292)=0,"",IF(OR(NOT(ISNUMBER(A292)),B292="",AND(C292&lt;&gt;"Sale",C292&lt;&gt;"Purchase",C292&lt;&gt;"Adjustment"),COUNTIFS(Products!$A$6:$A$105,D292)&lt;&gt;1,NOT(ISNUMBER(E292)),E292=0,AND(C292&lt;&gt;"Adjustment",E292&lt;0)),"Check inputs",IF(AND(C292="Sale",OR(NOT(ISNUMBER(F292)),NOT(ISNUMBER(G292)),NOT(ISNUMBER(H292)),F292&lt;0,G292&lt;0,H292&lt;0,G292&gt;E292*F292)),"Check sale amounts","OK")))</x:f>
      </x:c>
      <x:c r="K292" s="38" t="str">
        <x:f>IF(J292="","",IF(J292&lt;&gt;"OK","Fix row",IF(C292="Sale",E292*F292-G292,0)))</x:f>
      </x:c>
      <x:c r="L292" s="38" t="str">
        <x:f>IF(J292="","",IF(J292&lt;&gt;"OK","Fix row",IF(C292="Sale",K292-E292*H292,0)))</x:f>
      </x:c>
    </x:row>
    <x:row r="293" ht="27" customHeight="1">
      <x:c r="A293" s="40"/>
      <x:c r="B293" s="41"/>
      <x:c r="C293" s="41"/>
      <x:c r="D293" s="41"/>
      <x:c r="E293" s="41"/>
      <x:c r="F293" s="42"/>
      <x:c r="G293" s="42"/>
      <x:c r="H293" s="42"/>
      <x:c r="I293" s="41"/>
      <x:c r="J293" s="34" t="str">
        <x:f>IF(COUNTA(A293:I293)=0,"",IF(OR(NOT(ISNUMBER(A293)),B293="",AND(C293&lt;&gt;"Sale",C293&lt;&gt;"Purchase",C293&lt;&gt;"Adjustment"),COUNTIFS(Products!$A$6:$A$105,D293)&lt;&gt;1,NOT(ISNUMBER(E293)),E293=0,AND(C293&lt;&gt;"Adjustment",E293&lt;0)),"Check inputs",IF(AND(C293="Sale",OR(NOT(ISNUMBER(F293)),NOT(ISNUMBER(G293)),NOT(ISNUMBER(H293)),F293&lt;0,G293&lt;0,H293&lt;0,G293&gt;E293*F293)),"Check sale amounts","OK")))</x:f>
      </x:c>
      <x:c r="K293" s="35" t="str">
        <x:f>IF(J293="","",IF(J293&lt;&gt;"OK","Fix row",IF(C293="Sale",E293*F293-G293,0)))</x:f>
      </x:c>
      <x:c r="L293" s="35" t="str">
        <x:f>IF(J293="","",IF(J293&lt;&gt;"OK","Fix row",IF(C293="Sale",K293-E293*H293,0)))</x:f>
      </x:c>
    </x:row>
    <x:row r="294" ht="27" customHeight="1">
      <x:c r="A294" s="40"/>
      <x:c r="B294" s="41"/>
      <x:c r="C294" s="41"/>
      <x:c r="D294" s="41"/>
      <x:c r="E294" s="41"/>
      <x:c r="F294" s="42"/>
      <x:c r="G294" s="42"/>
      <x:c r="H294" s="42"/>
      <x:c r="I294" s="41"/>
      <x:c r="J294" s="37" t="str">
        <x:f>IF(COUNTA(A294:I294)=0,"",IF(OR(NOT(ISNUMBER(A294)),B294="",AND(C294&lt;&gt;"Sale",C294&lt;&gt;"Purchase",C294&lt;&gt;"Adjustment"),COUNTIFS(Products!$A$6:$A$105,D294)&lt;&gt;1,NOT(ISNUMBER(E294)),E294=0,AND(C294&lt;&gt;"Adjustment",E294&lt;0)),"Check inputs",IF(AND(C294="Sale",OR(NOT(ISNUMBER(F294)),NOT(ISNUMBER(G294)),NOT(ISNUMBER(H294)),F294&lt;0,G294&lt;0,H294&lt;0,G294&gt;E294*F294)),"Check sale amounts","OK")))</x:f>
      </x:c>
      <x:c r="K294" s="38" t="str">
        <x:f>IF(J294="","",IF(J294&lt;&gt;"OK","Fix row",IF(C294="Sale",E294*F294-G294,0)))</x:f>
      </x:c>
      <x:c r="L294" s="38" t="str">
        <x:f>IF(J294="","",IF(J294&lt;&gt;"OK","Fix row",IF(C294="Sale",K294-E294*H294,0)))</x:f>
      </x:c>
    </x:row>
    <x:row r="295" ht="27" customHeight="1">
      <x:c r="A295" s="40"/>
      <x:c r="B295" s="41"/>
      <x:c r="C295" s="41"/>
      <x:c r="D295" s="41"/>
      <x:c r="E295" s="41"/>
      <x:c r="F295" s="42"/>
      <x:c r="G295" s="42"/>
      <x:c r="H295" s="42"/>
      <x:c r="I295" s="41"/>
      <x:c r="J295" s="34" t="str">
        <x:f>IF(COUNTA(A295:I295)=0,"",IF(OR(NOT(ISNUMBER(A295)),B295="",AND(C295&lt;&gt;"Sale",C295&lt;&gt;"Purchase",C295&lt;&gt;"Adjustment"),COUNTIFS(Products!$A$6:$A$105,D295)&lt;&gt;1,NOT(ISNUMBER(E295)),E295=0,AND(C295&lt;&gt;"Adjustment",E295&lt;0)),"Check inputs",IF(AND(C295="Sale",OR(NOT(ISNUMBER(F295)),NOT(ISNUMBER(G295)),NOT(ISNUMBER(H295)),F295&lt;0,G295&lt;0,H295&lt;0,G295&gt;E295*F295)),"Check sale amounts","OK")))</x:f>
      </x:c>
      <x:c r="K295" s="35" t="str">
        <x:f>IF(J295="","",IF(J295&lt;&gt;"OK","Fix row",IF(C295="Sale",E295*F295-G295,0)))</x:f>
      </x:c>
      <x:c r="L295" s="35" t="str">
        <x:f>IF(J295="","",IF(J295&lt;&gt;"OK","Fix row",IF(C295="Sale",K295-E295*H295,0)))</x:f>
      </x:c>
    </x:row>
    <x:row r="296" ht="27" customHeight="1">
      <x:c r="A296" s="40"/>
      <x:c r="B296" s="41"/>
      <x:c r="C296" s="41"/>
      <x:c r="D296" s="41"/>
      <x:c r="E296" s="41"/>
      <x:c r="F296" s="42"/>
      <x:c r="G296" s="42"/>
      <x:c r="H296" s="42"/>
      <x:c r="I296" s="41"/>
      <x:c r="J296" s="37" t="str">
        <x:f>IF(COUNTA(A296:I296)=0,"",IF(OR(NOT(ISNUMBER(A296)),B296="",AND(C296&lt;&gt;"Sale",C296&lt;&gt;"Purchase",C296&lt;&gt;"Adjustment"),COUNTIFS(Products!$A$6:$A$105,D296)&lt;&gt;1,NOT(ISNUMBER(E296)),E296=0,AND(C296&lt;&gt;"Adjustment",E296&lt;0)),"Check inputs",IF(AND(C296="Sale",OR(NOT(ISNUMBER(F296)),NOT(ISNUMBER(G296)),NOT(ISNUMBER(H296)),F296&lt;0,G296&lt;0,H296&lt;0,G296&gt;E296*F296)),"Check sale amounts","OK")))</x:f>
      </x:c>
      <x:c r="K296" s="38" t="str">
        <x:f>IF(J296="","",IF(J296&lt;&gt;"OK","Fix row",IF(C296="Sale",E296*F296-G296,0)))</x:f>
      </x:c>
      <x:c r="L296" s="38" t="str">
        <x:f>IF(J296="","",IF(J296&lt;&gt;"OK","Fix row",IF(C296="Sale",K296-E296*H296,0)))</x:f>
      </x:c>
    </x:row>
    <x:row r="297" ht="27" customHeight="1">
      <x:c r="A297" s="40"/>
      <x:c r="B297" s="41"/>
      <x:c r="C297" s="41"/>
      <x:c r="D297" s="41"/>
      <x:c r="E297" s="41"/>
      <x:c r="F297" s="42"/>
      <x:c r="G297" s="42"/>
      <x:c r="H297" s="42"/>
      <x:c r="I297" s="41"/>
      <x:c r="J297" s="34" t="str">
        <x:f>IF(COUNTA(A297:I297)=0,"",IF(OR(NOT(ISNUMBER(A297)),B297="",AND(C297&lt;&gt;"Sale",C297&lt;&gt;"Purchase",C297&lt;&gt;"Adjustment"),COUNTIFS(Products!$A$6:$A$105,D297)&lt;&gt;1,NOT(ISNUMBER(E297)),E297=0,AND(C297&lt;&gt;"Adjustment",E297&lt;0)),"Check inputs",IF(AND(C297="Sale",OR(NOT(ISNUMBER(F297)),NOT(ISNUMBER(G297)),NOT(ISNUMBER(H297)),F297&lt;0,G297&lt;0,H297&lt;0,G297&gt;E297*F297)),"Check sale amounts","OK")))</x:f>
      </x:c>
      <x:c r="K297" s="35" t="str">
        <x:f>IF(J297="","",IF(J297&lt;&gt;"OK","Fix row",IF(C297="Sale",E297*F297-G297,0)))</x:f>
      </x:c>
      <x:c r="L297" s="35" t="str">
        <x:f>IF(J297="","",IF(J297&lt;&gt;"OK","Fix row",IF(C297="Sale",K297-E297*H297,0)))</x:f>
      </x:c>
    </x:row>
    <x:row r="298" ht="27" customHeight="1">
      <x:c r="A298" s="40"/>
      <x:c r="B298" s="41"/>
      <x:c r="C298" s="41"/>
      <x:c r="D298" s="41"/>
      <x:c r="E298" s="41"/>
      <x:c r="F298" s="42"/>
      <x:c r="G298" s="42"/>
      <x:c r="H298" s="42"/>
      <x:c r="I298" s="41"/>
      <x:c r="J298" s="37" t="str">
        <x:f>IF(COUNTA(A298:I298)=0,"",IF(OR(NOT(ISNUMBER(A298)),B298="",AND(C298&lt;&gt;"Sale",C298&lt;&gt;"Purchase",C298&lt;&gt;"Adjustment"),COUNTIFS(Products!$A$6:$A$105,D298)&lt;&gt;1,NOT(ISNUMBER(E298)),E298=0,AND(C298&lt;&gt;"Adjustment",E298&lt;0)),"Check inputs",IF(AND(C298="Sale",OR(NOT(ISNUMBER(F298)),NOT(ISNUMBER(G298)),NOT(ISNUMBER(H298)),F298&lt;0,G298&lt;0,H298&lt;0,G298&gt;E298*F298)),"Check sale amounts","OK")))</x:f>
      </x:c>
      <x:c r="K298" s="38" t="str">
        <x:f>IF(J298="","",IF(J298&lt;&gt;"OK","Fix row",IF(C298="Sale",E298*F298-G298,0)))</x:f>
      </x:c>
      <x:c r="L298" s="38" t="str">
        <x:f>IF(J298="","",IF(J298&lt;&gt;"OK","Fix row",IF(C298="Sale",K298-E298*H298,0)))</x:f>
      </x:c>
    </x:row>
    <x:row r="299" ht="27" customHeight="1">
      <x:c r="A299" s="40"/>
      <x:c r="B299" s="41"/>
      <x:c r="C299" s="41"/>
      <x:c r="D299" s="41"/>
      <x:c r="E299" s="41"/>
      <x:c r="F299" s="42"/>
      <x:c r="G299" s="42"/>
      <x:c r="H299" s="42"/>
      <x:c r="I299" s="41"/>
      <x:c r="J299" s="34" t="str">
        <x:f>IF(COUNTA(A299:I299)=0,"",IF(OR(NOT(ISNUMBER(A299)),B299="",AND(C299&lt;&gt;"Sale",C299&lt;&gt;"Purchase",C299&lt;&gt;"Adjustment"),COUNTIFS(Products!$A$6:$A$105,D299)&lt;&gt;1,NOT(ISNUMBER(E299)),E299=0,AND(C299&lt;&gt;"Adjustment",E299&lt;0)),"Check inputs",IF(AND(C299="Sale",OR(NOT(ISNUMBER(F299)),NOT(ISNUMBER(G299)),NOT(ISNUMBER(H299)),F299&lt;0,G299&lt;0,H299&lt;0,G299&gt;E299*F299)),"Check sale amounts","OK")))</x:f>
      </x:c>
      <x:c r="K299" s="35" t="str">
        <x:f>IF(J299="","",IF(J299&lt;&gt;"OK","Fix row",IF(C299="Sale",E299*F299-G299,0)))</x:f>
      </x:c>
      <x:c r="L299" s="35" t="str">
        <x:f>IF(J299="","",IF(J299&lt;&gt;"OK","Fix row",IF(C299="Sale",K299-E299*H299,0)))</x:f>
      </x:c>
    </x:row>
    <x:row r="300" ht="27" customHeight="1">
      <x:c r="A300" s="40"/>
      <x:c r="B300" s="41"/>
      <x:c r="C300" s="41"/>
      <x:c r="D300" s="41"/>
      <x:c r="E300" s="41"/>
      <x:c r="F300" s="42"/>
      <x:c r="G300" s="42"/>
      <x:c r="H300" s="42"/>
      <x:c r="I300" s="41"/>
      <x:c r="J300" s="37" t="str">
        <x:f>IF(COUNTA(A300:I300)=0,"",IF(OR(NOT(ISNUMBER(A300)),B300="",AND(C300&lt;&gt;"Sale",C300&lt;&gt;"Purchase",C300&lt;&gt;"Adjustment"),COUNTIFS(Products!$A$6:$A$105,D300)&lt;&gt;1,NOT(ISNUMBER(E300)),E300=0,AND(C300&lt;&gt;"Adjustment",E300&lt;0)),"Check inputs",IF(AND(C300="Sale",OR(NOT(ISNUMBER(F300)),NOT(ISNUMBER(G300)),NOT(ISNUMBER(H300)),F300&lt;0,G300&lt;0,H300&lt;0,G300&gt;E300*F300)),"Check sale amounts","OK")))</x:f>
      </x:c>
      <x:c r="K300" s="38" t="str">
        <x:f>IF(J300="","",IF(J300&lt;&gt;"OK","Fix row",IF(C300="Sale",E300*F300-G300,0)))</x:f>
      </x:c>
      <x:c r="L300" s="38" t="str">
        <x:f>IF(J300="","",IF(J300&lt;&gt;"OK","Fix row",IF(C300="Sale",K300-E300*H300,0)))</x:f>
      </x:c>
    </x:row>
    <x:row r="301" ht="27" customHeight="1">
      <x:c r="A301" s="40"/>
      <x:c r="B301" s="41"/>
      <x:c r="C301" s="41"/>
      <x:c r="D301" s="41"/>
      <x:c r="E301" s="41"/>
      <x:c r="F301" s="42"/>
      <x:c r="G301" s="42"/>
      <x:c r="H301" s="42"/>
      <x:c r="I301" s="41"/>
      <x:c r="J301" s="34" t="str">
        <x:f>IF(COUNTA(A301:I301)=0,"",IF(OR(NOT(ISNUMBER(A301)),B301="",AND(C301&lt;&gt;"Sale",C301&lt;&gt;"Purchase",C301&lt;&gt;"Adjustment"),COUNTIFS(Products!$A$6:$A$105,D301)&lt;&gt;1,NOT(ISNUMBER(E301)),E301=0,AND(C301&lt;&gt;"Adjustment",E301&lt;0)),"Check inputs",IF(AND(C301="Sale",OR(NOT(ISNUMBER(F301)),NOT(ISNUMBER(G301)),NOT(ISNUMBER(H301)),F301&lt;0,G301&lt;0,H301&lt;0,G301&gt;E301*F301)),"Check sale amounts","OK")))</x:f>
      </x:c>
      <x:c r="K301" s="35" t="str">
        <x:f>IF(J301="","",IF(J301&lt;&gt;"OK","Fix row",IF(C301="Sale",E301*F301-G301,0)))</x:f>
      </x:c>
      <x:c r="L301" s="35" t="str">
        <x:f>IF(J301="","",IF(J301&lt;&gt;"OK","Fix row",IF(C301="Sale",K301-E301*H301,0)))</x:f>
      </x:c>
    </x:row>
    <x:row r="302" ht="27" customHeight="1">
      <x:c r="A302" s="40"/>
      <x:c r="B302" s="41"/>
      <x:c r="C302" s="41"/>
      <x:c r="D302" s="41"/>
      <x:c r="E302" s="41"/>
      <x:c r="F302" s="42"/>
      <x:c r="G302" s="42"/>
      <x:c r="H302" s="42"/>
      <x:c r="I302" s="41"/>
      <x:c r="J302" s="37" t="str">
        <x:f>IF(COUNTA(A302:I302)=0,"",IF(OR(NOT(ISNUMBER(A302)),B302="",AND(C302&lt;&gt;"Sale",C302&lt;&gt;"Purchase",C302&lt;&gt;"Adjustment"),COUNTIFS(Products!$A$6:$A$105,D302)&lt;&gt;1,NOT(ISNUMBER(E302)),E302=0,AND(C302&lt;&gt;"Adjustment",E302&lt;0)),"Check inputs",IF(AND(C302="Sale",OR(NOT(ISNUMBER(F302)),NOT(ISNUMBER(G302)),NOT(ISNUMBER(H302)),F302&lt;0,G302&lt;0,H302&lt;0,G302&gt;E302*F302)),"Check sale amounts","OK")))</x:f>
      </x:c>
      <x:c r="K302" s="38" t="str">
        <x:f>IF(J302="","",IF(J302&lt;&gt;"OK","Fix row",IF(C302="Sale",E302*F302-G302,0)))</x:f>
      </x:c>
      <x:c r="L302" s="38" t="str">
        <x:f>IF(J302="","",IF(J302&lt;&gt;"OK","Fix row",IF(C302="Sale",K302-E302*H302,0)))</x:f>
      </x:c>
    </x:row>
    <x:row r="303" ht="27" customHeight="1">
      <x:c r="A303" s="40"/>
      <x:c r="B303" s="41"/>
      <x:c r="C303" s="41"/>
      <x:c r="D303" s="41"/>
      <x:c r="E303" s="41"/>
      <x:c r="F303" s="42"/>
      <x:c r="G303" s="42"/>
      <x:c r="H303" s="42"/>
      <x:c r="I303" s="41"/>
      <x:c r="J303" s="34" t="str">
        <x:f>IF(COUNTA(A303:I303)=0,"",IF(OR(NOT(ISNUMBER(A303)),B303="",AND(C303&lt;&gt;"Sale",C303&lt;&gt;"Purchase",C303&lt;&gt;"Adjustment"),COUNTIFS(Products!$A$6:$A$105,D303)&lt;&gt;1,NOT(ISNUMBER(E303)),E303=0,AND(C303&lt;&gt;"Adjustment",E303&lt;0)),"Check inputs",IF(AND(C303="Sale",OR(NOT(ISNUMBER(F303)),NOT(ISNUMBER(G303)),NOT(ISNUMBER(H303)),F303&lt;0,G303&lt;0,H303&lt;0,G303&gt;E303*F303)),"Check sale amounts","OK")))</x:f>
      </x:c>
      <x:c r="K303" s="35" t="str">
        <x:f>IF(J303="","",IF(J303&lt;&gt;"OK","Fix row",IF(C303="Sale",E303*F303-G303,0)))</x:f>
      </x:c>
      <x:c r="L303" s="35" t="str">
        <x:f>IF(J303="","",IF(J303&lt;&gt;"OK","Fix row",IF(C303="Sale",K303-E303*H303,0)))</x:f>
      </x:c>
    </x:row>
    <x:row r="304" ht="27" customHeight="1">
      <x:c r="A304" s="40"/>
      <x:c r="B304" s="41"/>
      <x:c r="C304" s="41"/>
      <x:c r="D304" s="41"/>
      <x:c r="E304" s="41"/>
      <x:c r="F304" s="42"/>
      <x:c r="G304" s="42"/>
      <x:c r="H304" s="42"/>
      <x:c r="I304" s="41"/>
      <x:c r="J304" s="37" t="str">
        <x:f>IF(COUNTA(A304:I304)=0,"",IF(OR(NOT(ISNUMBER(A304)),B304="",AND(C304&lt;&gt;"Sale",C304&lt;&gt;"Purchase",C304&lt;&gt;"Adjustment"),COUNTIFS(Products!$A$6:$A$105,D304)&lt;&gt;1,NOT(ISNUMBER(E304)),E304=0,AND(C304&lt;&gt;"Adjustment",E304&lt;0)),"Check inputs",IF(AND(C304="Sale",OR(NOT(ISNUMBER(F304)),NOT(ISNUMBER(G304)),NOT(ISNUMBER(H304)),F304&lt;0,G304&lt;0,H304&lt;0,G304&gt;E304*F304)),"Check sale amounts","OK")))</x:f>
      </x:c>
      <x:c r="K304" s="38" t="str">
        <x:f>IF(J304="","",IF(J304&lt;&gt;"OK","Fix row",IF(C304="Sale",E304*F304-G304,0)))</x:f>
      </x:c>
      <x:c r="L304" s="38" t="str">
        <x:f>IF(J304="","",IF(J304&lt;&gt;"OK","Fix row",IF(C304="Sale",K304-E304*H304,0)))</x:f>
      </x:c>
    </x:row>
    <x:row r="305" ht="27" customHeight="1">
      <x:c r="A305" s="40"/>
      <x:c r="B305" s="41"/>
      <x:c r="C305" s="41"/>
      <x:c r="D305" s="41"/>
      <x:c r="E305" s="41"/>
      <x:c r="F305" s="42"/>
      <x:c r="G305" s="42"/>
      <x:c r="H305" s="42"/>
      <x:c r="I305" s="41"/>
      <x:c r="J305" s="34" t="str">
        <x:f>IF(COUNTA(A305:I305)=0,"",IF(OR(NOT(ISNUMBER(A305)),B305="",AND(C305&lt;&gt;"Sale",C305&lt;&gt;"Purchase",C305&lt;&gt;"Adjustment"),COUNTIFS(Products!$A$6:$A$105,D305)&lt;&gt;1,NOT(ISNUMBER(E305)),E305=0,AND(C305&lt;&gt;"Adjustment",E305&lt;0)),"Check inputs",IF(AND(C305="Sale",OR(NOT(ISNUMBER(F305)),NOT(ISNUMBER(G305)),NOT(ISNUMBER(H305)),F305&lt;0,G305&lt;0,H305&lt;0,G305&gt;E305*F305)),"Check sale amounts","OK")))</x:f>
      </x:c>
      <x:c r="K305" s="35" t="str">
        <x:f>IF(J305="","",IF(J305&lt;&gt;"OK","Fix row",IF(C305="Sale",E305*F305-G305,0)))</x:f>
      </x:c>
      <x:c r="L305" s="35" t="str">
        <x:f>IF(J305="","",IF(J305&lt;&gt;"OK","Fix row",IF(C305="Sale",K305-E305*H305,0)))</x:f>
      </x:c>
    </x:row>
    <x:row r="306" ht="27" customHeight="1">
      <x:c r="A306" s="40"/>
      <x:c r="B306" s="41"/>
      <x:c r="C306" s="41"/>
      <x:c r="D306" s="41"/>
      <x:c r="E306" s="41"/>
      <x:c r="F306" s="42"/>
      <x:c r="G306" s="42"/>
      <x:c r="H306" s="42"/>
      <x:c r="I306" s="41"/>
      <x:c r="J306" s="37" t="str">
        <x:f>IF(COUNTA(A306:I306)=0,"",IF(OR(NOT(ISNUMBER(A306)),B306="",AND(C306&lt;&gt;"Sale",C306&lt;&gt;"Purchase",C306&lt;&gt;"Adjustment"),COUNTIFS(Products!$A$6:$A$105,D306)&lt;&gt;1,NOT(ISNUMBER(E306)),E306=0,AND(C306&lt;&gt;"Adjustment",E306&lt;0)),"Check inputs",IF(AND(C306="Sale",OR(NOT(ISNUMBER(F306)),NOT(ISNUMBER(G306)),NOT(ISNUMBER(H306)),F306&lt;0,G306&lt;0,H306&lt;0,G306&gt;E306*F306)),"Check sale amounts","OK")))</x:f>
      </x:c>
      <x:c r="K306" s="38" t="str">
        <x:f>IF(J306="","",IF(J306&lt;&gt;"OK","Fix row",IF(C306="Sale",E306*F306-G306,0)))</x:f>
      </x:c>
      <x:c r="L306" s="38" t="str">
        <x:f>IF(J306="","",IF(J306&lt;&gt;"OK","Fix row",IF(C306="Sale",K306-E306*H306,0)))</x:f>
      </x:c>
    </x:row>
    <x:row r="307" ht="27" customHeight="1">
      <x:c r="A307" s="40"/>
      <x:c r="B307" s="41"/>
      <x:c r="C307" s="41"/>
      <x:c r="D307" s="41"/>
      <x:c r="E307" s="41"/>
      <x:c r="F307" s="42"/>
      <x:c r="G307" s="42"/>
      <x:c r="H307" s="42"/>
      <x:c r="I307" s="41"/>
      <x:c r="J307" s="34" t="str">
        <x:f>IF(COUNTA(A307:I307)=0,"",IF(OR(NOT(ISNUMBER(A307)),B307="",AND(C307&lt;&gt;"Sale",C307&lt;&gt;"Purchase",C307&lt;&gt;"Adjustment"),COUNTIFS(Products!$A$6:$A$105,D307)&lt;&gt;1,NOT(ISNUMBER(E307)),E307=0,AND(C307&lt;&gt;"Adjustment",E307&lt;0)),"Check inputs",IF(AND(C307="Sale",OR(NOT(ISNUMBER(F307)),NOT(ISNUMBER(G307)),NOT(ISNUMBER(H307)),F307&lt;0,G307&lt;0,H307&lt;0,G307&gt;E307*F307)),"Check sale amounts","OK")))</x:f>
      </x:c>
      <x:c r="K307" s="35" t="str">
        <x:f>IF(J307="","",IF(J307&lt;&gt;"OK","Fix row",IF(C307="Sale",E307*F307-G307,0)))</x:f>
      </x:c>
      <x:c r="L307" s="35" t="str">
        <x:f>IF(J307="","",IF(J307&lt;&gt;"OK","Fix row",IF(C307="Sale",K307-E307*H307,0)))</x:f>
      </x:c>
    </x:row>
    <x:row r="308" ht="27" customHeight="1">
      <x:c r="A308" s="40"/>
      <x:c r="B308" s="41"/>
      <x:c r="C308" s="41"/>
      <x:c r="D308" s="41"/>
      <x:c r="E308" s="41"/>
      <x:c r="F308" s="42"/>
      <x:c r="G308" s="42"/>
      <x:c r="H308" s="42"/>
      <x:c r="I308" s="41"/>
      <x:c r="J308" s="37" t="str">
        <x:f>IF(COUNTA(A308:I308)=0,"",IF(OR(NOT(ISNUMBER(A308)),B308="",AND(C308&lt;&gt;"Sale",C308&lt;&gt;"Purchase",C308&lt;&gt;"Adjustment"),COUNTIFS(Products!$A$6:$A$105,D308)&lt;&gt;1,NOT(ISNUMBER(E308)),E308=0,AND(C308&lt;&gt;"Adjustment",E308&lt;0)),"Check inputs",IF(AND(C308="Sale",OR(NOT(ISNUMBER(F308)),NOT(ISNUMBER(G308)),NOT(ISNUMBER(H308)),F308&lt;0,G308&lt;0,H308&lt;0,G308&gt;E308*F308)),"Check sale amounts","OK")))</x:f>
      </x:c>
      <x:c r="K308" s="38" t="str">
        <x:f>IF(J308="","",IF(J308&lt;&gt;"OK","Fix row",IF(C308="Sale",E308*F308-G308,0)))</x:f>
      </x:c>
      <x:c r="L308" s="38" t="str">
        <x:f>IF(J308="","",IF(J308&lt;&gt;"OK","Fix row",IF(C308="Sale",K308-E308*H308,0)))</x:f>
      </x:c>
    </x:row>
    <x:row r="309" ht="27" customHeight="1">
      <x:c r="A309" s="40"/>
      <x:c r="B309" s="41"/>
      <x:c r="C309" s="41"/>
      <x:c r="D309" s="41"/>
      <x:c r="E309" s="41"/>
      <x:c r="F309" s="42"/>
      <x:c r="G309" s="42"/>
      <x:c r="H309" s="42"/>
      <x:c r="I309" s="41"/>
      <x:c r="J309" s="34" t="str">
        <x:f>IF(COUNTA(A309:I309)=0,"",IF(OR(NOT(ISNUMBER(A309)),B309="",AND(C309&lt;&gt;"Sale",C309&lt;&gt;"Purchase",C309&lt;&gt;"Adjustment"),COUNTIFS(Products!$A$6:$A$105,D309)&lt;&gt;1,NOT(ISNUMBER(E309)),E309=0,AND(C309&lt;&gt;"Adjustment",E309&lt;0)),"Check inputs",IF(AND(C309="Sale",OR(NOT(ISNUMBER(F309)),NOT(ISNUMBER(G309)),NOT(ISNUMBER(H309)),F309&lt;0,G309&lt;0,H309&lt;0,G309&gt;E309*F309)),"Check sale amounts","OK")))</x:f>
      </x:c>
      <x:c r="K309" s="35" t="str">
        <x:f>IF(J309="","",IF(J309&lt;&gt;"OK","Fix row",IF(C309="Sale",E309*F309-G309,0)))</x:f>
      </x:c>
      <x:c r="L309" s="35" t="str">
        <x:f>IF(J309="","",IF(J309&lt;&gt;"OK","Fix row",IF(C309="Sale",K309-E309*H309,0)))</x:f>
      </x:c>
    </x:row>
    <x:row r="310" ht="27" customHeight="1">
      <x:c r="A310" s="40"/>
      <x:c r="B310" s="41"/>
      <x:c r="C310" s="41"/>
      <x:c r="D310" s="41"/>
      <x:c r="E310" s="41"/>
      <x:c r="F310" s="42"/>
      <x:c r="G310" s="42"/>
      <x:c r="H310" s="42"/>
      <x:c r="I310" s="41"/>
      <x:c r="J310" s="37" t="str">
        <x:f>IF(COUNTA(A310:I310)=0,"",IF(OR(NOT(ISNUMBER(A310)),B310="",AND(C310&lt;&gt;"Sale",C310&lt;&gt;"Purchase",C310&lt;&gt;"Adjustment"),COUNTIFS(Products!$A$6:$A$105,D310)&lt;&gt;1,NOT(ISNUMBER(E310)),E310=0,AND(C310&lt;&gt;"Adjustment",E310&lt;0)),"Check inputs",IF(AND(C310="Sale",OR(NOT(ISNUMBER(F310)),NOT(ISNUMBER(G310)),NOT(ISNUMBER(H310)),F310&lt;0,G310&lt;0,H310&lt;0,G310&gt;E310*F310)),"Check sale amounts","OK")))</x:f>
      </x:c>
      <x:c r="K310" s="38" t="str">
        <x:f>IF(J310="","",IF(J310&lt;&gt;"OK","Fix row",IF(C310="Sale",E310*F310-G310,0)))</x:f>
      </x:c>
      <x:c r="L310" s="38" t="str">
        <x:f>IF(J310="","",IF(J310&lt;&gt;"OK","Fix row",IF(C310="Sale",K310-E310*H310,0)))</x:f>
      </x:c>
    </x:row>
    <x:row r="311" ht="27" customHeight="1">
      <x:c r="A311" s="40"/>
      <x:c r="B311" s="41"/>
      <x:c r="C311" s="41"/>
      <x:c r="D311" s="41"/>
      <x:c r="E311" s="41"/>
      <x:c r="F311" s="42"/>
      <x:c r="G311" s="42"/>
      <x:c r="H311" s="42"/>
      <x:c r="I311" s="41"/>
      <x:c r="J311" s="34" t="str">
        <x:f>IF(COUNTA(A311:I311)=0,"",IF(OR(NOT(ISNUMBER(A311)),B311="",AND(C311&lt;&gt;"Sale",C311&lt;&gt;"Purchase",C311&lt;&gt;"Adjustment"),COUNTIFS(Products!$A$6:$A$105,D311)&lt;&gt;1,NOT(ISNUMBER(E311)),E311=0,AND(C311&lt;&gt;"Adjustment",E311&lt;0)),"Check inputs",IF(AND(C311="Sale",OR(NOT(ISNUMBER(F311)),NOT(ISNUMBER(G311)),NOT(ISNUMBER(H311)),F311&lt;0,G311&lt;0,H311&lt;0,G311&gt;E311*F311)),"Check sale amounts","OK")))</x:f>
      </x:c>
      <x:c r="K311" s="35" t="str">
        <x:f>IF(J311="","",IF(J311&lt;&gt;"OK","Fix row",IF(C311="Sale",E311*F311-G311,0)))</x:f>
      </x:c>
      <x:c r="L311" s="35" t="str">
        <x:f>IF(J311="","",IF(J311&lt;&gt;"OK","Fix row",IF(C311="Sale",K311-E311*H311,0)))</x:f>
      </x:c>
    </x:row>
    <x:row r="312" ht="27" customHeight="1">
      <x:c r="A312" s="40"/>
      <x:c r="B312" s="41"/>
      <x:c r="C312" s="41"/>
      <x:c r="D312" s="41"/>
      <x:c r="E312" s="41"/>
      <x:c r="F312" s="42"/>
      <x:c r="G312" s="42"/>
      <x:c r="H312" s="42"/>
      <x:c r="I312" s="41"/>
      <x:c r="J312" s="37" t="str">
        <x:f>IF(COUNTA(A312:I312)=0,"",IF(OR(NOT(ISNUMBER(A312)),B312="",AND(C312&lt;&gt;"Sale",C312&lt;&gt;"Purchase",C312&lt;&gt;"Adjustment"),COUNTIFS(Products!$A$6:$A$105,D312)&lt;&gt;1,NOT(ISNUMBER(E312)),E312=0,AND(C312&lt;&gt;"Adjustment",E312&lt;0)),"Check inputs",IF(AND(C312="Sale",OR(NOT(ISNUMBER(F312)),NOT(ISNUMBER(G312)),NOT(ISNUMBER(H312)),F312&lt;0,G312&lt;0,H312&lt;0,G312&gt;E312*F312)),"Check sale amounts","OK")))</x:f>
      </x:c>
      <x:c r="K312" s="38" t="str">
        <x:f>IF(J312="","",IF(J312&lt;&gt;"OK","Fix row",IF(C312="Sale",E312*F312-G312,0)))</x:f>
      </x:c>
      <x:c r="L312" s="38" t="str">
        <x:f>IF(J312="","",IF(J312&lt;&gt;"OK","Fix row",IF(C312="Sale",K312-E312*H312,0)))</x:f>
      </x:c>
    </x:row>
    <x:row r="313" ht="27" customHeight="1">
      <x:c r="A313" s="40"/>
      <x:c r="B313" s="41"/>
      <x:c r="C313" s="41"/>
      <x:c r="D313" s="41"/>
      <x:c r="E313" s="41"/>
      <x:c r="F313" s="42"/>
      <x:c r="G313" s="42"/>
      <x:c r="H313" s="42"/>
      <x:c r="I313" s="41"/>
      <x:c r="J313" s="34" t="str">
        <x:f>IF(COUNTA(A313:I313)=0,"",IF(OR(NOT(ISNUMBER(A313)),B313="",AND(C313&lt;&gt;"Sale",C313&lt;&gt;"Purchase",C313&lt;&gt;"Adjustment"),COUNTIFS(Products!$A$6:$A$105,D313)&lt;&gt;1,NOT(ISNUMBER(E313)),E313=0,AND(C313&lt;&gt;"Adjustment",E313&lt;0)),"Check inputs",IF(AND(C313="Sale",OR(NOT(ISNUMBER(F313)),NOT(ISNUMBER(G313)),NOT(ISNUMBER(H313)),F313&lt;0,G313&lt;0,H313&lt;0,G313&gt;E313*F313)),"Check sale amounts","OK")))</x:f>
      </x:c>
      <x:c r="K313" s="35" t="str">
        <x:f>IF(J313="","",IF(J313&lt;&gt;"OK","Fix row",IF(C313="Sale",E313*F313-G313,0)))</x:f>
      </x:c>
      <x:c r="L313" s="35" t="str">
        <x:f>IF(J313="","",IF(J313&lt;&gt;"OK","Fix row",IF(C313="Sale",K313-E313*H313,0)))</x:f>
      </x:c>
    </x:row>
    <x:row r="314" ht="27" customHeight="1">
      <x:c r="A314" s="40"/>
      <x:c r="B314" s="41"/>
      <x:c r="C314" s="41"/>
      <x:c r="D314" s="41"/>
      <x:c r="E314" s="41"/>
      <x:c r="F314" s="42"/>
      <x:c r="G314" s="42"/>
      <x:c r="H314" s="42"/>
      <x:c r="I314" s="41"/>
      <x:c r="J314" s="37" t="str">
        <x:f>IF(COUNTA(A314:I314)=0,"",IF(OR(NOT(ISNUMBER(A314)),B314="",AND(C314&lt;&gt;"Sale",C314&lt;&gt;"Purchase",C314&lt;&gt;"Adjustment"),COUNTIFS(Products!$A$6:$A$105,D314)&lt;&gt;1,NOT(ISNUMBER(E314)),E314=0,AND(C314&lt;&gt;"Adjustment",E314&lt;0)),"Check inputs",IF(AND(C314="Sale",OR(NOT(ISNUMBER(F314)),NOT(ISNUMBER(G314)),NOT(ISNUMBER(H314)),F314&lt;0,G314&lt;0,H314&lt;0,G314&gt;E314*F314)),"Check sale amounts","OK")))</x:f>
      </x:c>
      <x:c r="K314" s="38" t="str">
        <x:f>IF(J314="","",IF(J314&lt;&gt;"OK","Fix row",IF(C314="Sale",E314*F314-G314,0)))</x:f>
      </x:c>
      <x:c r="L314" s="38" t="str">
        <x:f>IF(J314="","",IF(J314&lt;&gt;"OK","Fix row",IF(C314="Sale",K314-E314*H314,0)))</x:f>
      </x:c>
    </x:row>
    <x:row r="315" ht="27" customHeight="1">
      <x:c r="A315" s="40"/>
      <x:c r="B315" s="41"/>
      <x:c r="C315" s="41"/>
      <x:c r="D315" s="41"/>
      <x:c r="E315" s="41"/>
      <x:c r="F315" s="42"/>
      <x:c r="G315" s="42"/>
      <x:c r="H315" s="42"/>
      <x:c r="I315" s="41"/>
      <x:c r="J315" s="34" t="str">
        <x:f>IF(COUNTA(A315:I315)=0,"",IF(OR(NOT(ISNUMBER(A315)),B315="",AND(C315&lt;&gt;"Sale",C315&lt;&gt;"Purchase",C315&lt;&gt;"Adjustment"),COUNTIFS(Products!$A$6:$A$105,D315)&lt;&gt;1,NOT(ISNUMBER(E315)),E315=0,AND(C315&lt;&gt;"Adjustment",E315&lt;0)),"Check inputs",IF(AND(C315="Sale",OR(NOT(ISNUMBER(F315)),NOT(ISNUMBER(G315)),NOT(ISNUMBER(H315)),F315&lt;0,G315&lt;0,H315&lt;0,G315&gt;E315*F315)),"Check sale amounts","OK")))</x:f>
      </x:c>
      <x:c r="K315" s="35" t="str">
        <x:f>IF(J315="","",IF(J315&lt;&gt;"OK","Fix row",IF(C315="Sale",E315*F315-G315,0)))</x:f>
      </x:c>
      <x:c r="L315" s="35" t="str">
        <x:f>IF(J315="","",IF(J315&lt;&gt;"OK","Fix row",IF(C315="Sale",K315-E315*H315,0)))</x:f>
      </x:c>
    </x:row>
    <x:row r="316" ht="27" customHeight="1">
      <x:c r="A316" s="40"/>
      <x:c r="B316" s="41"/>
      <x:c r="C316" s="41"/>
      <x:c r="D316" s="41"/>
      <x:c r="E316" s="41"/>
      <x:c r="F316" s="42"/>
      <x:c r="G316" s="42"/>
      <x:c r="H316" s="42"/>
      <x:c r="I316" s="41"/>
      <x:c r="J316" s="37" t="str">
        <x:f>IF(COUNTA(A316:I316)=0,"",IF(OR(NOT(ISNUMBER(A316)),B316="",AND(C316&lt;&gt;"Sale",C316&lt;&gt;"Purchase",C316&lt;&gt;"Adjustment"),COUNTIFS(Products!$A$6:$A$105,D316)&lt;&gt;1,NOT(ISNUMBER(E316)),E316=0,AND(C316&lt;&gt;"Adjustment",E316&lt;0)),"Check inputs",IF(AND(C316="Sale",OR(NOT(ISNUMBER(F316)),NOT(ISNUMBER(G316)),NOT(ISNUMBER(H316)),F316&lt;0,G316&lt;0,H316&lt;0,G316&gt;E316*F316)),"Check sale amounts","OK")))</x:f>
      </x:c>
      <x:c r="K316" s="38" t="str">
        <x:f>IF(J316="","",IF(J316&lt;&gt;"OK","Fix row",IF(C316="Sale",E316*F316-G316,0)))</x:f>
      </x:c>
      <x:c r="L316" s="38" t="str">
        <x:f>IF(J316="","",IF(J316&lt;&gt;"OK","Fix row",IF(C316="Sale",K316-E316*H316,0)))</x:f>
      </x:c>
    </x:row>
    <x:row r="317" ht="27" customHeight="1">
      <x:c r="A317" s="40"/>
      <x:c r="B317" s="41"/>
      <x:c r="C317" s="41"/>
      <x:c r="D317" s="41"/>
      <x:c r="E317" s="41"/>
      <x:c r="F317" s="42"/>
      <x:c r="G317" s="42"/>
      <x:c r="H317" s="42"/>
      <x:c r="I317" s="41"/>
      <x:c r="J317" s="34" t="str">
        <x:f>IF(COUNTA(A317:I317)=0,"",IF(OR(NOT(ISNUMBER(A317)),B317="",AND(C317&lt;&gt;"Sale",C317&lt;&gt;"Purchase",C317&lt;&gt;"Adjustment"),COUNTIFS(Products!$A$6:$A$105,D317)&lt;&gt;1,NOT(ISNUMBER(E317)),E317=0,AND(C317&lt;&gt;"Adjustment",E317&lt;0)),"Check inputs",IF(AND(C317="Sale",OR(NOT(ISNUMBER(F317)),NOT(ISNUMBER(G317)),NOT(ISNUMBER(H317)),F317&lt;0,G317&lt;0,H317&lt;0,G317&gt;E317*F317)),"Check sale amounts","OK")))</x:f>
      </x:c>
      <x:c r="K317" s="35" t="str">
        <x:f>IF(J317="","",IF(J317&lt;&gt;"OK","Fix row",IF(C317="Sale",E317*F317-G317,0)))</x:f>
      </x:c>
      <x:c r="L317" s="35" t="str">
        <x:f>IF(J317="","",IF(J317&lt;&gt;"OK","Fix row",IF(C317="Sale",K317-E317*H317,0)))</x:f>
      </x:c>
    </x:row>
    <x:row r="318" ht="27" customHeight="1">
      <x:c r="A318" s="40"/>
      <x:c r="B318" s="41"/>
      <x:c r="C318" s="41"/>
      <x:c r="D318" s="41"/>
      <x:c r="E318" s="41"/>
      <x:c r="F318" s="42"/>
      <x:c r="G318" s="42"/>
      <x:c r="H318" s="42"/>
      <x:c r="I318" s="41"/>
      <x:c r="J318" s="37" t="str">
        <x:f>IF(COUNTA(A318:I318)=0,"",IF(OR(NOT(ISNUMBER(A318)),B318="",AND(C318&lt;&gt;"Sale",C318&lt;&gt;"Purchase",C318&lt;&gt;"Adjustment"),COUNTIFS(Products!$A$6:$A$105,D318)&lt;&gt;1,NOT(ISNUMBER(E318)),E318=0,AND(C318&lt;&gt;"Adjustment",E318&lt;0)),"Check inputs",IF(AND(C318="Sale",OR(NOT(ISNUMBER(F318)),NOT(ISNUMBER(G318)),NOT(ISNUMBER(H318)),F318&lt;0,G318&lt;0,H318&lt;0,G318&gt;E318*F318)),"Check sale amounts","OK")))</x:f>
      </x:c>
      <x:c r="K318" s="38" t="str">
        <x:f>IF(J318="","",IF(J318&lt;&gt;"OK","Fix row",IF(C318="Sale",E318*F318-G318,0)))</x:f>
      </x:c>
      <x:c r="L318" s="38" t="str">
        <x:f>IF(J318="","",IF(J318&lt;&gt;"OK","Fix row",IF(C318="Sale",K318-E318*H318,0)))</x:f>
      </x:c>
    </x:row>
    <x:row r="319" ht="27" customHeight="1">
      <x:c r="A319" s="40"/>
      <x:c r="B319" s="41"/>
      <x:c r="C319" s="41"/>
      <x:c r="D319" s="41"/>
      <x:c r="E319" s="41"/>
      <x:c r="F319" s="42"/>
      <x:c r="G319" s="42"/>
      <x:c r="H319" s="42"/>
      <x:c r="I319" s="41"/>
      <x:c r="J319" s="34" t="str">
        <x:f>IF(COUNTA(A319:I319)=0,"",IF(OR(NOT(ISNUMBER(A319)),B319="",AND(C319&lt;&gt;"Sale",C319&lt;&gt;"Purchase",C319&lt;&gt;"Adjustment"),COUNTIFS(Products!$A$6:$A$105,D319)&lt;&gt;1,NOT(ISNUMBER(E319)),E319=0,AND(C319&lt;&gt;"Adjustment",E319&lt;0)),"Check inputs",IF(AND(C319="Sale",OR(NOT(ISNUMBER(F319)),NOT(ISNUMBER(G319)),NOT(ISNUMBER(H319)),F319&lt;0,G319&lt;0,H319&lt;0,G319&gt;E319*F319)),"Check sale amounts","OK")))</x:f>
      </x:c>
      <x:c r="K319" s="35" t="str">
        <x:f>IF(J319="","",IF(J319&lt;&gt;"OK","Fix row",IF(C319="Sale",E319*F319-G319,0)))</x:f>
      </x:c>
      <x:c r="L319" s="35" t="str">
        <x:f>IF(J319="","",IF(J319&lt;&gt;"OK","Fix row",IF(C319="Sale",K319-E319*H319,0)))</x:f>
      </x:c>
    </x:row>
    <x:row r="320" ht="27" customHeight="1">
      <x:c r="A320" s="40"/>
      <x:c r="B320" s="41"/>
      <x:c r="C320" s="41"/>
      <x:c r="D320" s="41"/>
      <x:c r="E320" s="41"/>
      <x:c r="F320" s="42"/>
      <x:c r="G320" s="42"/>
      <x:c r="H320" s="42"/>
      <x:c r="I320" s="41"/>
      <x:c r="J320" s="37" t="str">
        <x:f>IF(COUNTA(A320:I320)=0,"",IF(OR(NOT(ISNUMBER(A320)),B320="",AND(C320&lt;&gt;"Sale",C320&lt;&gt;"Purchase",C320&lt;&gt;"Adjustment"),COUNTIFS(Products!$A$6:$A$105,D320)&lt;&gt;1,NOT(ISNUMBER(E320)),E320=0,AND(C320&lt;&gt;"Adjustment",E320&lt;0)),"Check inputs",IF(AND(C320="Sale",OR(NOT(ISNUMBER(F320)),NOT(ISNUMBER(G320)),NOT(ISNUMBER(H320)),F320&lt;0,G320&lt;0,H320&lt;0,G320&gt;E320*F320)),"Check sale amounts","OK")))</x:f>
      </x:c>
      <x:c r="K320" s="38" t="str">
        <x:f>IF(J320="","",IF(J320&lt;&gt;"OK","Fix row",IF(C320="Sale",E320*F320-G320,0)))</x:f>
      </x:c>
      <x:c r="L320" s="38" t="str">
        <x:f>IF(J320="","",IF(J320&lt;&gt;"OK","Fix row",IF(C320="Sale",K320-E320*H320,0)))</x:f>
      </x:c>
    </x:row>
    <x:row r="321" ht="27" customHeight="1">
      <x:c r="A321" s="40"/>
      <x:c r="B321" s="41"/>
      <x:c r="C321" s="41"/>
      <x:c r="D321" s="41"/>
      <x:c r="E321" s="41"/>
      <x:c r="F321" s="42"/>
      <x:c r="G321" s="42"/>
      <x:c r="H321" s="42"/>
      <x:c r="I321" s="41"/>
      <x:c r="J321" s="34" t="str">
        <x:f>IF(COUNTA(A321:I321)=0,"",IF(OR(NOT(ISNUMBER(A321)),B321="",AND(C321&lt;&gt;"Sale",C321&lt;&gt;"Purchase",C321&lt;&gt;"Adjustment"),COUNTIFS(Products!$A$6:$A$105,D321)&lt;&gt;1,NOT(ISNUMBER(E321)),E321=0,AND(C321&lt;&gt;"Adjustment",E321&lt;0)),"Check inputs",IF(AND(C321="Sale",OR(NOT(ISNUMBER(F321)),NOT(ISNUMBER(G321)),NOT(ISNUMBER(H321)),F321&lt;0,G321&lt;0,H321&lt;0,G321&gt;E321*F321)),"Check sale amounts","OK")))</x:f>
      </x:c>
      <x:c r="K321" s="35" t="str">
        <x:f>IF(J321="","",IF(J321&lt;&gt;"OK","Fix row",IF(C321="Sale",E321*F321-G321,0)))</x:f>
      </x:c>
      <x:c r="L321" s="35" t="str">
        <x:f>IF(J321="","",IF(J321&lt;&gt;"OK","Fix row",IF(C321="Sale",K321-E321*H321,0)))</x:f>
      </x:c>
    </x:row>
    <x:row r="322" ht="27" customHeight="1">
      <x:c r="A322" s="40"/>
      <x:c r="B322" s="41"/>
      <x:c r="C322" s="41"/>
      <x:c r="D322" s="41"/>
      <x:c r="E322" s="41"/>
      <x:c r="F322" s="42"/>
      <x:c r="G322" s="42"/>
      <x:c r="H322" s="42"/>
      <x:c r="I322" s="41"/>
      <x:c r="J322" s="37" t="str">
        <x:f>IF(COUNTA(A322:I322)=0,"",IF(OR(NOT(ISNUMBER(A322)),B322="",AND(C322&lt;&gt;"Sale",C322&lt;&gt;"Purchase",C322&lt;&gt;"Adjustment"),COUNTIFS(Products!$A$6:$A$105,D322)&lt;&gt;1,NOT(ISNUMBER(E322)),E322=0,AND(C322&lt;&gt;"Adjustment",E322&lt;0)),"Check inputs",IF(AND(C322="Sale",OR(NOT(ISNUMBER(F322)),NOT(ISNUMBER(G322)),NOT(ISNUMBER(H322)),F322&lt;0,G322&lt;0,H322&lt;0,G322&gt;E322*F322)),"Check sale amounts","OK")))</x:f>
      </x:c>
      <x:c r="K322" s="38" t="str">
        <x:f>IF(J322="","",IF(J322&lt;&gt;"OK","Fix row",IF(C322="Sale",E322*F322-G322,0)))</x:f>
      </x:c>
      <x:c r="L322" s="38" t="str">
        <x:f>IF(J322="","",IF(J322&lt;&gt;"OK","Fix row",IF(C322="Sale",K322-E322*H322,0)))</x:f>
      </x:c>
    </x:row>
    <x:row r="323" ht="27" customHeight="1">
      <x:c r="A323" s="40"/>
      <x:c r="B323" s="41"/>
      <x:c r="C323" s="41"/>
      <x:c r="D323" s="41"/>
      <x:c r="E323" s="41"/>
      <x:c r="F323" s="42"/>
      <x:c r="G323" s="42"/>
      <x:c r="H323" s="42"/>
      <x:c r="I323" s="41"/>
      <x:c r="J323" s="34" t="str">
        <x:f>IF(COUNTA(A323:I323)=0,"",IF(OR(NOT(ISNUMBER(A323)),B323="",AND(C323&lt;&gt;"Sale",C323&lt;&gt;"Purchase",C323&lt;&gt;"Adjustment"),COUNTIFS(Products!$A$6:$A$105,D323)&lt;&gt;1,NOT(ISNUMBER(E323)),E323=0,AND(C323&lt;&gt;"Adjustment",E323&lt;0)),"Check inputs",IF(AND(C323="Sale",OR(NOT(ISNUMBER(F323)),NOT(ISNUMBER(G323)),NOT(ISNUMBER(H323)),F323&lt;0,G323&lt;0,H323&lt;0,G323&gt;E323*F323)),"Check sale amounts","OK")))</x:f>
      </x:c>
      <x:c r="K323" s="35" t="str">
        <x:f>IF(J323="","",IF(J323&lt;&gt;"OK","Fix row",IF(C323="Sale",E323*F323-G323,0)))</x:f>
      </x:c>
      <x:c r="L323" s="35" t="str">
        <x:f>IF(J323="","",IF(J323&lt;&gt;"OK","Fix row",IF(C323="Sale",K323-E323*H323,0)))</x:f>
      </x:c>
    </x:row>
    <x:row r="324" ht="27" customHeight="1">
      <x:c r="A324" s="40"/>
      <x:c r="B324" s="41"/>
      <x:c r="C324" s="41"/>
      <x:c r="D324" s="41"/>
      <x:c r="E324" s="41"/>
      <x:c r="F324" s="42"/>
      <x:c r="G324" s="42"/>
      <x:c r="H324" s="42"/>
      <x:c r="I324" s="41"/>
      <x:c r="J324" s="37" t="str">
        <x:f>IF(COUNTA(A324:I324)=0,"",IF(OR(NOT(ISNUMBER(A324)),B324="",AND(C324&lt;&gt;"Sale",C324&lt;&gt;"Purchase",C324&lt;&gt;"Adjustment"),COUNTIFS(Products!$A$6:$A$105,D324)&lt;&gt;1,NOT(ISNUMBER(E324)),E324=0,AND(C324&lt;&gt;"Adjustment",E324&lt;0)),"Check inputs",IF(AND(C324="Sale",OR(NOT(ISNUMBER(F324)),NOT(ISNUMBER(G324)),NOT(ISNUMBER(H324)),F324&lt;0,G324&lt;0,H324&lt;0,G324&gt;E324*F324)),"Check sale amounts","OK")))</x:f>
      </x:c>
      <x:c r="K324" s="38" t="str">
        <x:f>IF(J324="","",IF(J324&lt;&gt;"OK","Fix row",IF(C324="Sale",E324*F324-G324,0)))</x:f>
      </x:c>
      <x:c r="L324" s="38" t="str">
        <x:f>IF(J324="","",IF(J324&lt;&gt;"OK","Fix row",IF(C324="Sale",K324-E324*H324,0)))</x:f>
      </x:c>
    </x:row>
    <x:row r="325" ht="27" customHeight="1">
      <x:c r="A325" s="40"/>
      <x:c r="B325" s="41"/>
      <x:c r="C325" s="41"/>
      <x:c r="D325" s="41"/>
      <x:c r="E325" s="41"/>
      <x:c r="F325" s="42"/>
      <x:c r="G325" s="42"/>
      <x:c r="H325" s="42"/>
      <x:c r="I325" s="41"/>
      <x:c r="J325" s="34" t="str">
        <x:f>IF(COUNTA(A325:I325)=0,"",IF(OR(NOT(ISNUMBER(A325)),B325="",AND(C325&lt;&gt;"Sale",C325&lt;&gt;"Purchase",C325&lt;&gt;"Adjustment"),COUNTIFS(Products!$A$6:$A$105,D325)&lt;&gt;1,NOT(ISNUMBER(E325)),E325=0,AND(C325&lt;&gt;"Adjustment",E325&lt;0)),"Check inputs",IF(AND(C325="Sale",OR(NOT(ISNUMBER(F325)),NOT(ISNUMBER(G325)),NOT(ISNUMBER(H325)),F325&lt;0,G325&lt;0,H325&lt;0,G325&gt;E325*F325)),"Check sale amounts","OK")))</x:f>
      </x:c>
      <x:c r="K325" s="35" t="str">
        <x:f>IF(J325="","",IF(J325&lt;&gt;"OK","Fix row",IF(C325="Sale",E325*F325-G325,0)))</x:f>
      </x:c>
      <x:c r="L325" s="35" t="str">
        <x:f>IF(J325="","",IF(J325&lt;&gt;"OK","Fix row",IF(C325="Sale",K325-E325*H325,0)))</x:f>
      </x:c>
    </x:row>
    <x:row r="326" ht="27" customHeight="1">
      <x:c r="A326" s="40"/>
      <x:c r="B326" s="41"/>
      <x:c r="C326" s="41"/>
      <x:c r="D326" s="41"/>
      <x:c r="E326" s="41"/>
      <x:c r="F326" s="42"/>
      <x:c r="G326" s="42"/>
      <x:c r="H326" s="42"/>
      <x:c r="I326" s="41"/>
      <x:c r="J326" s="37" t="str">
        <x:f>IF(COUNTA(A326:I326)=0,"",IF(OR(NOT(ISNUMBER(A326)),B326="",AND(C326&lt;&gt;"Sale",C326&lt;&gt;"Purchase",C326&lt;&gt;"Adjustment"),COUNTIFS(Products!$A$6:$A$105,D326)&lt;&gt;1,NOT(ISNUMBER(E326)),E326=0,AND(C326&lt;&gt;"Adjustment",E326&lt;0)),"Check inputs",IF(AND(C326="Sale",OR(NOT(ISNUMBER(F326)),NOT(ISNUMBER(G326)),NOT(ISNUMBER(H326)),F326&lt;0,G326&lt;0,H326&lt;0,G326&gt;E326*F326)),"Check sale amounts","OK")))</x:f>
      </x:c>
      <x:c r="K326" s="38" t="str">
        <x:f>IF(J326="","",IF(J326&lt;&gt;"OK","Fix row",IF(C326="Sale",E326*F326-G326,0)))</x:f>
      </x:c>
      <x:c r="L326" s="38" t="str">
        <x:f>IF(J326="","",IF(J326&lt;&gt;"OK","Fix row",IF(C326="Sale",K326-E326*H326,0)))</x:f>
      </x:c>
    </x:row>
    <x:row r="327" ht="27" customHeight="1">
      <x:c r="A327" s="40"/>
      <x:c r="B327" s="41"/>
      <x:c r="C327" s="41"/>
      <x:c r="D327" s="41"/>
      <x:c r="E327" s="41"/>
      <x:c r="F327" s="42"/>
      <x:c r="G327" s="42"/>
      <x:c r="H327" s="42"/>
      <x:c r="I327" s="41"/>
      <x:c r="J327" s="34" t="str">
        <x:f>IF(COUNTA(A327:I327)=0,"",IF(OR(NOT(ISNUMBER(A327)),B327="",AND(C327&lt;&gt;"Sale",C327&lt;&gt;"Purchase",C327&lt;&gt;"Adjustment"),COUNTIFS(Products!$A$6:$A$105,D327)&lt;&gt;1,NOT(ISNUMBER(E327)),E327=0,AND(C327&lt;&gt;"Adjustment",E327&lt;0)),"Check inputs",IF(AND(C327="Sale",OR(NOT(ISNUMBER(F327)),NOT(ISNUMBER(G327)),NOT(ISNUMBER(H327)),F327&lt;0,G327&lt;0,H327&lt;0,G327&gt;E327*F327)),"Check sale amounts","OK")))</x:f>
      </x:c>
      <x:c r="K327" s="35" t="str">
        <x:f>IF(J327="","",IF(J327&lt;&gt;"OK","Fix row",IF(C327="Sale",E327*F327-G327,0)))</x:f>
      </x:c>
      <x:c r="L327" s="35" t="str">
        <x:f>IF(J327="","",IF(J327&lt;&gt;"OK","Fix row",IF(C327="Sale",K327-E327*H327,0)))</x:f>
      </x:c>
    </x:row>
    <x:row r="328" ht="27" customHeight="1">
      <x:c r="A328" s="40"/>
      <x:c r="B328" s="41"/>
      <x:c r="C328" s="41"/>
      <x:c r="D328" s="41"/>
      <x:c r="E328" s="41"/>
      <x:c r="F328" s="42"/>
      <x:c r="G328" s="42"/>
      <x:c r="H328" s="42"/>
      <x:c r="I328" s="41"/>
      <x:c r="J328" s="37" t="str">
        <x:f>IF(COUNTA(A328:I328)=0,"",IF(OR(NOT(ISNUMBER(A328)),B328="",AND(C328&lt;&gt;"Sale",C328&lt;&gt;"Purchase",C328&lt;&gt;"Adjustment"),COUNTIFS(Products!$A$6:$A$105,D328)&lt;&gt;1,NOT(ISNUMBER(E328)),E328=0,AND(C328&lt;&gt;"Adjustment",E328&lt;0)),"Check inputs",IF(AND(C328="Sale",OR(NOT(ISNUMBER(F328)),NOT(ISNUMBER(G328)),NOT(ISNUMBER(H328)),F328&lt;0,G328&lt;0,H328&lt;0,G328&gt;E328*F328)),"Check sale amounts","OK")))</x:f>
      </x:c>
      <x:c r="K328" s="38" t="str">
        <x:f>IF(J328="","",IF(J328&lt;&gt;"OK","Fix row",IF(C328="Sale",E328*F328-G328,0)))</x:f>
      </x:c>
      <x:c r="L328" s="38" t="str">
        <x:f>IF(J328="","",IF(J328&lt;&gt;"OK","Fix row",IF(C328="Sale",K328-E328*H328,0)))</x:f>
      </x:c>
    </x:row>
    <x:row r="329" ht="27" customHeight="1">
      <x:c r="A329" s="40"/>
      <x:c r="B329" s="41"/>
      <x:c r="C329" s="41"/>
      <x:c r="D329" s="41"/>
      <x:c r="E329" s="41"/>
      <x:c r="F329" s="42"/>
      <x:c r="G329" s="42"/>
      <x:c r="H329" s="42"/>
      <x:c r="I329" s="41"/>
      <x:c r="J329" s="34" t="str">
        <x:f>IF(COUNTA(A329:I329)=0,"",IF(OR(NOT(ISNUMBER(A329)),B329="",AND(C329&lt;&gt;"Sale",C329&lt;&gt;"Purchase",C329&lt;&gt;"Adjustment"),COUNTIFS(Products!$A$6:$A$105,D329)&lt;&gt;1,NOT(ISNUMBER(E329)),E329=0,AND(C329&lt;&gt;"Adjustment",E329&lt;0)),"Check inputs",IF(AND(C329="Sale",OR(NOT(ISNUMBER(F329)),NOT(ISNUMBER(G329)),NOT(ISNUMBER(H329)),F329&lt;0,G329&lt;0,H329&lt;0,G329&gt;E329*F329)),"Check sale amounts","OK")))</x:f>
      </x:c>
      <x:c r="K329" s="35" t="str">
        <x:f>IF(J329="","",IF(J329&lt;&gt;"OK","Fix row",IF(C329="Sale",E329*F329-G329,0)))</x:f>
      </x:c>
      <x:c r="L329" s="35" t="str">
        <x:f>IF(J329="","",IF(J329&lt;&gt;"OK","Fix row",IF(C329="Sale",K329-E329*H329,0)))</x:f>
      </x:c>
    </x:row>
    <x:row r="330" ht="27" customHeight="1">
      <x:c r="A330" s="40"/>
      <x:c r="B330" s="41"/>
      <x:c r="C330" s="41"/>
      <x:c r="D330" s="41"/>
      <x:c r="E330" s="41"/>
      <x:c r="F330" s="42"/>
      <x:c r="G330" s="42"/>
      <x:c r="H330" s="42"/>
      <x:c r="I330" s="41"/>
      <x:c r="J330" s="37" t="str">
        <x:f>IF(COUNTA(A330:I330)=0,"",IF(OR(NOT(ISNUMBER(A330)),B330="",AND(C330&lt;&gt;"Sale",C330&lt;&gt;"Purchase",C330&lt;&gt;"Adjustment"),COUNTIFS(Products!$A$6:$A$105,D330)&lt;&gt;1,NOT(ISNUMBER(E330)),E330=0,AND(C330&lt;&gt;"Adjustment",E330&lt;0)),"Check inputs",IF(AND(C330="Sale",OR(NOT(ISNUMBER(F330)),NOT(ISNUMBER(G330)),NOT(ISNUMBER(H330)),F330&lt;0,G330&lt;0,H330&lt;0,G330&gt;E330*F330)),"Check sale amounts","OK")))</x:f>
      </x:c>
      <x:c r="K330" s="38" t="str">
        <x:f>IF(J330="","",IF(J330&lt;&gt;"OK","Fix row",IF(C330="Sale",E330*F330-G330,0)))</x:f>
      </x:c>
      <x:c r="L330" s="38" t="str">
        <x:f>IF(J330="","",IF(J330&lt;&gt;"OK","Fix row",IF(C330="Sale",K330-E330*H330,0)))</x:f>
      </x:c>
    </x:row>
    <x:row r="331" ht="27" customHeight="1">
      <x:c r="A331" s="40"/>
      <x:c r="B331" s="41"/>
      <x:c r="C331" s="41"/>
      <x:c r="D331" s="41"/>
      <x:c r="E331" s="41"/>
      <x:c r="F331" s="42"/>
      <x:c r="G331" s="42"/>
      <x:c r="H331" s="42"/>
      <x:c r="I331" s="41"/>
      <x:c r="J331" s="34" t="str">
        <x:f>IF(COUNTA(A331:I331)=0,"",IF(OR(NOT(ISNUMBER(A331)),B331="",AND(C331&lt;&gt;"Sale",C331&lt;&gt;"Purchase",C331&lt;&gt;"Adjustment"),COUNTIFS(Products!$A$6:$A$105,D331)&lt;&gt;1,NOT(ISNUMBER(E331)),E331=0,AND(C331&lt;&gt;"Adjustment",E331&lt;0)),"Check inputs",IF(AND(C331="Sale",OR(NOT(ISNUMBER(F331)),NOT(ISNUMBER(G331)),NOT(ISNUMBER(H331)),F331&lt;0,G331&lt;0,H331&lt;0,G331&gt;E331*F331)),"Check sale amounts","OK")))</x:f>
      </x:c>
      <x:c r="K331" s="35" t="str">
        <x:f>IF(J331="","",IF(J331&lt;&gt;"OK","Fix row",IF(C331="Sale",E331*F331-G331,0)))</x:f>
      </x:c>
      <x:c r="L331" s="35" t="str">
        <x:f>IF(J331="","",IF(J331&lt;&gt;"OK","Fix row",IF(C331="Sale",K331-E331*H331,0)))</x:f>
      </x:c>
    </x:row>
    <x:row r="332" ht="27" customHeight="1">
      <x:c r="A332" s="40"/>
      <x:c r="B332" s="41"/>
      <x:c r="C332" s="41"/>
      <x:c r="D332" s="41"/>
      <x:c r="E332" s="41"/>
      <x:c r="F332" s="42"/>
      <x:c r="G332" s="42"/>
      <x:c r="H332" s="42"/>
      <x:c r="I332" s="41"/>
      <x:c r="J332" s="37" t="str">
        <x:f>IF(COUNTA(A332:I332)=0,"",IF(OR(NOT(ISNUMBER(A332)),B332="",AND(C332&lt;&gt;"Sale",C332&lt;&gt;"Purchase",C332&lt;&gt;"Adjustment"),COUNTIFS(Products!$A$6:$A$105,D332)&lt;&gt;1,NOT(ISNUMBER(E332)),E332=0,AND(C332&lt;&gt;"Adjustment",E332&lt;0)),"Check inputs",IF(AND(C332="Sale",OR(NOT(ISNUMBER(F332)),NOT(ISNUMBER(G332)),NOT(ISNUMBER(H332)),F332&lt;0,G332&lt;0,H332&lt;0,G332&gt;E332*F332)),"Check sale amounts","OK")))</x:f>
      </x:c>
      <x:c r="K332" s="38" t="str">
        <x:f>IF(J332="","",IF(J332&lt;&gt;"OK","Fix row",IF(C332="Sale",E332*F332-G332,0)))</x:f>
      </x:c>
      <x:c r="L332" s="38" t="str">
        <x:f>IF(J332="","",IF(J332&lt;&gt;"OK","Fix row",IF(C332="Sale",K332-E332*H332,0)))</x:f>
      </x:c>
    </x:row>
    <x:row r="333" ht="27" customHeight="1">
      <x:c r="A333" s="40"/>
      <x:c r="B333" s="41"/>
      <x:c r="C333" s="41"/>
      <x:c r="D333" s="41"/>
      <x:c r="E333" s="41"/>
      <x:c r="F333" s="42"/>
      <x:c r="G333" s="42"/>
      <x:c r="H333" s="42"/>
      <x:c r="I333" s="41"/>
      <x:c r="J333" s="34" t="str">
        <x:f>IF(COUNTA(A333:I333)=0,"",IF(OR(NOT(ISNUMBER(A333)),B333="",AND(C333&lt;&gt;"Sale",C333&lt;&gt;"Purchase",C333&lt;&gt;"Adjustment"),COUNTIFS(Products!$A$6:$A$105,D333)&lt;&gt;1,NOT(ISNUMBER(E333)),E333=0,AND(C333&lt;&gt;"Adjustment",E333&lt;0)),"Check inputs",IF(AND(C333="Sale",OR(NOT(ISNUMBER(F333)),NOT(ISNUMBER(G333)),NOT(ISNUMBER(H333)),F333&lt;0,G333&lt;0,H333&lt;0,G333&gt;E333*F333)),"Check sale amounts","OK")))</x:f>
      </x:c>
      <x:c r="K333" s="35" t="str">
        <x:f>IF(J333="","",IF(J333&lt;&gt;"OK","Fix row",IF(C333="Sale",E333*F333-G333,0)))</x:f>
      </x:c>
      <x:c r="L333" s="35" t="str">
        <x:f>IF(J333="","",IF(J333&lt;&gt;"OK","Fix row",IF(C333="Sale",K333-E333*H333,0)))</x:f>
      </x:c>
    </x:row>
    <x:row r="334" ht="27" customHeight="1">
      <x:c r="A334" s="40"/>
      <x:c r="B334" s="41"/>
      <x:c r="C334" s="41"/>
      <x:c r="D334" s="41"/>
      <x:c r="E334" s="41"/>
      <x:c r="F334" s="42"/>
      <x:c r="G334" s="42"/>
      <x:c r="H334" s="42"/>
      <x:c r="I334" s="41"/>
      <x:c r="J334" s="37" t="str">
        <x:f>IF(COUNTA(A334:I334)=0,"",IF(OR(NOT(ISNUMBER(A334)),B334="",AND(C334&lt;&gt;"Sale",C334&lt;&gt;"Purchase",C334&lt;&gt;"Adjustment"),COUNTIFS(Products!$A$6:$A$105,D334)&lt;&gt;1,NOT(ISNUMBER(E334)),E334=0,AND(C334&lt;&gt;"Adjustment",E334&lt;0)),"Check inputs",IF(AND(C334="Sale",OR(NOT(ISNUMBER(F334)),NOT(ISNUMBER(G334)),NOT(ISNUMBER(H334)),F334&lt;0,G334&lt;0,H334&lt;0,G334&gt;E334*F334)),"Check sale amounts","OK")))</x:f>
      </x:c>
      <x:c r="K334" s="38" t="str">
        <x:f>IF(J334="","",IF(J334&lt;&gt;"OK","Fix row",IF(C334="Sale",E334*F334-G334,0)))</x:f>
      </x:c>
      <x:c r="L334" s="38" t="str">
        <x:f>IF(J334="","",IF(J334&lt;&gt;"OK","Fix row",IF(C334="Sale",K334-E334*H334,0)))</x:f>
      </x:c>
    </x:row>
    <x:row r="335" ht="27" customHeight="1">
      <x:c r="A335" s="40"/>
      <x:c r="B335" s="41"/>
      <x:c r="C335" s="41"/>
      <x:c r="D335" s="41"/>
      <x:c r="E335" s="41"/>
      <x:c r="F335" s="42"/>
      <x:c r="G335" s="42"/>
      <x:c r="H335" s="42"/>
      <x:c r="I335" s="41"/>
      <x:c r="J335" s="34" t="str">
        <x:f>IF(COUNTA(A335:I335)=0,"",IF(OR(NOT(ISNUMBER(A335)),B335="",AND(C335&lt;&gt;"Sale",C335&lt;&gt;"Purchase",C335&lt;&gt;"Adjustment"),COUNTIFS(Products!$A$6:$A$105,D335)&lt;&gt;1,NOT(ISNUMBER(E335)),E335=0,AND(C335&lt;&gt;"Adjustment",E335&lt;0)),"Check inputs",IF(AND(C335="Sale",OR(NOT(ISNUMBER(F335)),NOT(ISNUMBER(G335)),NOT(ISNUMBER(H335)),F335&lt;0,G335&lt;0,H335&lt;0,G335&gt;E335*F335)),"Check sale amounts","OK")))</x:f>
      </x:c>
      <x:c r="K335" s="35" t="str">
        <x:f>IF(J335="","",IF(J335&lt;&gt;"OK","Fix row",IF(C335="Sale",E335*F335-G335,0)))</x:f>
      </x:c>
      <x:c r="L335" s="35" t="str">
        <x:f>IF(J335="","",IF(J335&lt;&gt;"OK","Fix row",IF(C335="Sale",K335-E335*H335,0)))</x:f>
      </x:c>
    </x:row>
    <x:row r="336" ht="27" customHeight="1">
      <x:c r="A336" s="40"/>
      <x:c r="B336" s="41"/>
      <x:c r="C336" s="41"/>
      <x:c r="D336" s="41"/>
      <x:c r="E336" s="41"/>
      <x:c r="F336" s="42"/>
      <x:c r="G336" s="42"/>
      <x:c r="H336" s="42"/>
      <x:c r="I336" s="41"/>
      <x:c r="J336" s="37" t="str">
        <x:f>IF(COUNTA(A336:I336)=0,"",IF(OR(NOT(ISNUMBER(A336)),B336="",AND(C336&lt;&gt;"Sale",C336&lt;&gt;"Purchase",C336&lt;&gt;"Adjustment"),COUNTIFS(Products!$A$6:$A$105,D336)&lt;&gt;1,NOT(ISNUMBER(E336)),E336=0,AND(C336&lt;&gt;"Adjustment",E336&lt;0)),"Check inputs",IF(AND(C336="Sale",OR(NOT(ISNUMBER(F336)),NOT(ISNUMBER(G336)),NOT(ISNUMBER(H336)),F336&lt;0,G336&lt;0,H336&lt;0,G336&gt;E336*F336)),"Check sale amounts","OK")))</x:f>
      </x:c>
      <x:c r="K336" s="38" t="str">
        <x:f>IF(J336="","",IF(J336&lt;&gt;"OK","Fix row",IF(C336="Sale",E336*F336-G336,0)))</x:f>
      </x:c>
      <x:c r="L336" s="38" t="str">
        <x:f>IF(J336="","",IF(J336&lt;&gt;"OK","Fix row",IF(C336="Sale",K336-E336*H336,0)))</x:f>
      </x:c>
    </x:row>
    <x:row r="337" ht="27" customHeight="1">
      <x:c r="A337" s="40"/>
      <x:c r="B337" s="41"/>
      <x:c r="C337" s="41"/>
      <x:c r="D337" s="41"/>
      <x:c r="E337" s="41"/>
      <x:c r="F337" s="42"/>
      <x:c r="G337" s="42"/>
      <x:c r="H337" s="42"/>
      <x:c r="I337" s="41"/>
      <x:c r="J337" s="34" t="str">
        <x:f>IF(COUNTA(A337:I337)=0,"",IF(OR(NOT(ISNUMBER(A337)),B337="",AND(C337&lt;&gt;"Sale",C337&lt;&gt;"Purchase",C337&lt;&gt;"Adjustment"),COUNTIFS(Products!$A$6:$A$105,D337)&lt;&gt;1,NOT(ISNUMBER(E337)),E337=0,AND(C337&lt;&gt;"Adjustment",E337&lt;0)),"Check inputs",IF(AND(C337="Sale",OR(NOT(ISNUMBER(F337)),NOT(ISNUMBER(G337)),NOT(ISNUMBER(H337)),F337&lt;0,G337&lt;0,H337&lt;0,G337&gt;E337*F337)),"Check sale amounts","OK")))</x:f>
      </x:c>
      <x:c r="K337" s="35" t="str">
        <x:f>IF(J337="","",IF(J337&lt;&gt;"OK","Fix row",IF(C337="Sale",E337*F337-G337,0)))</x:f>
      </x:c>
      <x:c r="L337" s="35" t="str">
        <x:f>IF(J337="","",IF(J337&lt;&gt;"OK","Fix row",IF(C337="Sale",K337-E337*H337,0)))</x:f>
      </x:c>
    </x:row>
    <x:row r="338" ht="27" customHeight="1">
      <x:c r="A338" s="40"/>
      <x:c r="B338" s="41"/>
      <x:c r="C338" s="41"/>
      <x:c r="D338" s="41"/>
      <x:c r="E338" s="41"/>
      <x:c r="F338" s="42"/>
      <x:c r="G338" s="42"/>
      <x:c r="H338" s="42"/>
      <x:c r="I338" s="41"/>
      <x:c r="J338" s="37" t="str">
        <x:f>IF(COUNTA(A338:I338)=0,"",IF(OR(NOT(ISNUMBER(A338)),B338="",AND(C338&lt;&gt;"Sale",C338&lt;&gt;"Purchase",C338&lt;&gt;"Adjustment"),COUNTIFS(Products!$A$6:$A$105,D338)&lt;&gt;1,NOT(ISNUMBER(E338)),E338=0,AND(C338&lt;&gt;"Adjustment",E338&lt;0)),"Check inputs",IF(AND(C338="Sale",OR(NOT(ISNUMBER(F338)),NOT(ISNUMBER(G338)),NOT(ISNUMBER(H338)),F338&lt;0,G338&lt;0,H338&lt;0,G338&gt;E338*F338)),"Check sale amounts","OK")))</x:f>
      </x:c>
      <x:c r="K338" s="38" t="str">
        <x:f>IF(J338="","",IF(J338&lt;&gt;"OK","Fix row",IF(C338="Sale",E338*F338-G338,0)))</x:f>
      </x:c>
      <x:c r="L338" s="38" t="str">
        <x:f>IF(J338="","",IF(J338&lt;&gt;"OK","Fix row",IF(C338="Sale",K338-E338*H338,0)))</x:f>
      </x:c>
    </x:row>
    <x:row r="339" ht="27" customHeight="1">
      <x:c r="A339" s="40"/>
      <x:c r="B339" s="41"/>
      <x:c r="C339" s="41"/>
      <x:c r="D339" s="41"/>
      <x:c r="E339" s="41"/>
      <x:c r="F339" s="42"/>
      <x:c r="G339" s="42"/>
      <x:c r="H339" s="42"/>
      <x:c r="I339" s="41"/>
      <x:c r="J339" s="34" t="str">
        <x:f>IF(COUNTA(A339:I339)=0,"",IF(OR(NOT(ISNUMBER(A339)),B339="",AND(C339&lt;&gt;"Sale",C339&lt;&gt;"Purchase",C339&lt;&gt;"Adjustment"),COUNTIFS(Products!$A$6:$A$105,D339)&lt;&gt;1,NOT(ISNUMBER(E339)),E339=0,AND(C339&lt;&gt;"Adjustment",E339&lt;0)),"Check inputs",IF(AND(C339="Sale",OR(NOT(ISNUMBER(F339)),NOT(ISNUMBER(G339)),NOT(ISNUMBER(H339)),F339&lt;0,G339&lt;0,H339&lt;0,G339&gt;E339*F339)),"Check sale amounts","OK")))</x:f>
      </x:c>
      <x:c r="K339" s="35" t="str">
        <x:f>IF(J339="","",IF(J339&lt;&gt;"OK","Fix row",IF(C339="Sale",E339*F339-G339,0)))</x:f>
      </x:c>
      <x:c r="L339" s="35" t="str">
        <x:f>IF(J339="","",IF(J339&lt;&gt;"OK","Fix row",IF(C339="Sale",K339-E339*H339,0)))</x:f>
      </x:c>
    </x:row>
    <x:row r="340" ht="27" customHeight="1">
      <x:c r="A340" s="40"/>
      <x:c r="B340" s="41"/>
      <x:c r="C340" s="41"/>
      <x:c r="D340" s="41"/>
      <x:c r="E340" s="41"/>
      <x:c r="F340" s="42"/>
      <x:c r="G340" s="42"/>
      <x:c r="H340" s="42"/>
      <x:c r="I340" s="41"/>
      <x:c r="J340" s="37" t="str">
        <x:f>IF(COUNTA(A340:I340)=0,"",IF(OR(NOT(ISNUMBER(A340)),B340="",AND(C340&lt;&gt;"Sale",C340&lt;&gt;"Purchase",C340&lt;&gt;"Adjustment"),COUNTIFS(Products!$A$6:$A$105,D340)&lt;&gt;1,NOT(ISNUMBER(E340)),E340=0,AND(C340&lt;&gt;"Adjustment",E340&lt;0)),"Check inputs",IF(AND(C340="Sale",OR(NOT(ISNUMBER(F340)),NOT(ISNUMBER(G340)),NOT(ISNUMBER(H340)),F340&lt;0,G340&lt;0,H340&lt;0,G340&gt;E340*F340)),"Check sale amounts","OK")))</x:f>
      </x:c>
      <x:c r="K340" s="38" t="str">
        <x:f>IF(J340="","",IF(J340&lt;&gt;"OK","Fix row",IF(C340="Sale",E340*F340-G340,0)))</x:f>
      </x:c>
      <x:c r="L340" s="38" t="str">
        <x:f>IF(J340="","",IF(J340&lt;&gt;"OK","Fix row",IF(C340="Sale",K340-E340*H340,0)))</x:f>
      </x:c>
    </x:row>
    <x:row r="341" ht="27" customHeight="1">
      <x:c r="A341" s="40"/>
      <x:c r="B341" s="41"/>
      <x:c r="C341" s="41"/>
      <x:c r="D341" s="41"/>
      <x:c r="E341" s="41"/>
      <x:c r="F341" s="42"/>
      <x:c r="G341" s="42"/>
      <x:c r="H341" s="42"/>
      <x:c r="I341" s="41"/>
      <x:c r="J341" s="34" t="str">
        <x:f>IF(COUNTA(A341:I341)=0,"",IF(OR(NOT(ISNUMBER(A341)),B341="",AND(C341&lt;&gt;"Sale",C341&lt;&gt;"Purchase",C341&lt;&gt;"Adjustment"),COUNTIFS(Products!$A$6:$A$105,D341)&lt;&gt;1,NOT(ISNUMBER(E341)),E341=0,AND(C341&lt;&gt;"Adjustment",E341&lt;0)),"Check inputs",IF(AND(C341="Sale",OR(NOT(ISNUMBER(F341)),NOT(ISNUMBER(G341)),NOT(ISNUMBER(H341)),F341&lt;0,G341&lt;0,H341&lt;0,G341&gt;E341*F341)),"Check sale amounts","OK")))</x:f>
      </x:c>
      <x:c r="K341" s="35" t="str">
        <x:f>IF(J341="","",IF(J341&lt;&gt;"OK","Fix row",IF(C341="Sale",E341*F341-G341,0)))</x:f>
      </x:c>
      <x:c r="L341" s="35" t="str">
        <x:f>IF(J341="","",IF(J341&lt;&gt;"OK","Fix row",IF(C341="Sale",K341-E341*H341,0)))</x:f>
      </x:c>
    </x:row>
    <x:row r="342" ht="27" customHeight="1">
      <x:c r="A342" s="40"/>
      <x:c r="B342" s="41"/>
      <x:c r="C342" s="41"/>
      <x:c r="D342" s="41"/>
      <x:c r="E342" s="41"/>
      <x:c r="F342" s="42"/>
      <x:c r="G342" s="42"/>
      <x:c r="H342" s="42"/>
      <x:c r="I342" s="41"/>
      <x:c r="J342" s="37" t="str">
        <x:f>IF(COUNTA(A342:I342)=0,"",IF(OR(NOT(ISNUMBER(A342)),B342="",AND(C342&lt;&gt;"Sale",C342&lt;&gt;"Purchase",C342&lt;&gt;"Adjustment"),COUNTIFS(Products!$A$6:$A$105,D342)&lt;&gt;1,NOT(ISNUMBER(E342)),E342=0,AND(C342&lt;&gt;"Adjustment",E342&lt;0)),"Check inputs",IF(AND(C342="Sale",OR(NOT(ISNUMBER(F342)),NOT(ISNUMBER(G342)),NOT(ISNUMBER(H342)),F342&lt;0,G342&lt;0,H342&lt;0,G342&gt;E342*F342)),"Check sale amounts","OK")))</x:f>
      </x:c>
      <x:c r="K342" s="38" t="str">
        <x:f>IF(J342="","",IF(J342&lt;&gt;"OK","Fix row",IF(C342="Sale",E342*F342-G342,0)))</x:f>
      </x:c>
      <x:c r="L342" s="38" t="str">
        <x:f>IF(J342="","",IF(J342&lt;&gt;"OK","Fix row",IF(C342="Sale",K342-E342*H342,0)))</x:f>
      </x:c>
    </x:row>
    <x:row r="343" ht="27" customHeight="1">
      <x:c r="A343" s="40"/>
      <x:c r="B343" s="41"/>
      <x:c r="C343" s="41"/>
      <x:c r="D343" s="41"/>
      <x:c r="E343" s="41"/>
      <x:c r="F343" s="42"/>
      <x:c r="G343" s="42"/>
      <x:c r="H343" s="42"/>
      <x:c r="I343" s="41"/>
      <x:c r="J343" s="34" t="str">
        <x:f>IF(COUNTA(A343:I343)=0,"",IF(OR(NOT(ISNUMBER(A343)),B343="",AND(C343&lt;&gt;"Sale",C343&lt;&gt;"Purchase",C343&lt;&gt;"Adjustment"),COUNTIFS(Products!$A$6:$A$105,D343)&lt;&gt;1,NOT(ISNUMBER(E343)),E343=0,AND(C343&lt;&gt;"Adjustment",E343&lt;0)),"Check inputs",IF(AND(C343="Sale",OR(NOT(ISNUMBER(F343)),NOT(ISNUMBER(G343)),NOT(ISNUMBER(H343)),F343&lt;0,G343&lt;0,H343&lt;0,G343&gt;E343*F343)),"Check sale amounts","OK")))</x:f>
      </x:c>
      <x:c r="K343" s="35" t="str">
        <x:f>IF(J343="","",IF(J343&lt;&gt;"OK","Fix row",IF(C343="Sale",E343*F343-G343,0)))</x:f>
      </x:c>
      <x:c r="L343" s="35" t="str">
        <x:f>IF(J343="","",IF(J343&lt;&gt;"OK","Fix row",IF(C343="Sale",K343-E343*H343,0)))</x:f>
      </x:c>
    </x:row>
    <x:row r="344" ht="27" customHeight="1">
      <x:c r="A344" s="40"/>
      <x:c r="B344" s="41"/>
      <x:c r="C344" s="41"/>
      <x:c r="D344" s="41"/>
      <x:c r="E344" s="41"/>
      <x:c r="F344" s="42"/>
      <x:c r="G344" s="42"/>
      <x:c r="H344" s="42"/>
      <x:c r="I344" s="41"/>
      <x:c r="J344" s="37" t="str">
        <x:f>IF(COUNTA(A344:I344)=0,"",IF(OR(NOT(ISNUMBER(A344)),B344="",AND(C344&lt;&gt;"Sale",C344&lt;&gt;"Purchase",C344&lt;&gt;"Adjustment"),COUNTIFS(Products!$A$6:$A$105,D344)&lt;&gt;1,NOT(ISNUMBER(E344)),E344=0,AND(C344&lt;&gt;"Adjustment",E344&lt;0)),"Check inputs",IF(AND(C344="Sale",OR(NOT(ISNUMBER(F344)),NOT(ISNUMBER(G344)),NOT(ISNUMBER(H344)),F344&lt;0,G344&lt;0,H344&lt;0,G344&gt;E344*F344)),"Check sale amounts","OK")))</x:f>
      </x:c>
      <x:c r="K344" s="38" t="str">
        <x:f>IF(J344="","",IF(J344&lt;&gt;"OK","Fix row",IF(C344="Sale",E344*F344-G344,0)))</x:f>
      </x:c>
      <x:c r="L344" s="38" t="str">
        <x:f>IF(J344="","",IF(J344&lt;&gt;"OK","Fix row",IF(C344="Sale",K344-E344*H344,0)))</x:f>
      </x:c>
    </x:row>
    <x:row r="345" ht="27" customHeight="1">
      <x:c r="A345" s="40"/>
      <x:c r="B345" s="41"/>
      <x:c r="C345" s="41"/>
      <x:c r="D345" s="41"/>
      <x:c r="E345" s="41"/>
      <x:c r="F345" s="42"/>
      <x:c r="G345" s="42"/>
      <x:c r="H345" s="42"/>
      <x:c r="I345" s="41"/>
      <x:c r="J345" s="34" t="str">
        <x:f>IF(COUNTA(A345:I345)=0,"",IF(OR(NOT(ISNUMBER(A345)),B345="",AND(C345&lt;&gt;"Sale",C345&lt;&gt;"Purchase",C345&lt;&gt;"Adjustment"),COUNTIFS(Products!$A$6:$A$105,D345)&lt;&gt;1,NOT(ISNUMBER(E345)),E345=0,AND(C345&lt;&gt;"Adjustment",E345&lt;0)),"Check inputs",IF(AND(C345="Sale",OR(NOT(ISNUMBER(F345)),NOT(ISNUMBER(G345)),NOT(ISNUMBER(H345)),F345&lt;0,G345&lt;0,H345&lt;0,G345&gt;E345*F345)),"Check sale amounts","OK")))</x:f>
      </x:c>
      <x:c r="K345" s="35" t="str">
        <x:f>IF(J345="","",IF(J345&lt;&gt;"OK","Fix row",IF(C345="Sale",E345*F345-G345,0)))</x:f>
      </x:c>
      <x:c r="L345" s="35" t="str">
        <x:f>IF(J345="","",IF(J345&lt;&gt;"OK","Fix row",IF(C345="Sale",K345-E345*H345,0)))</x:f>
      </x:c>
    </x:row>
    <x:row r="346" ht="27" customHeight="1">
      <x:c r="A346" s="40"/>
      <x:c r="B346" s="41"/>
      <x:c r="C346" s="41"/>
      <x:c r="D346" s="41"/>
      <x:c r="E346" s="41"/>
      <x:c r="F346" s="42"/>
      <x:c r="G346" s="42"/>
      <x:c r="H346" s="42"/>
      <x:c r="I346" s="41"/>
      <x:c r="J346" s="37" t="str">
        <x:f>IF(COUNTA(A346:I346)=0,"",IF(OR(NOT(ISNUMBER(A346)),B346="",AND(C346&lt;&gt;"Sale",C346&lt;&gt;"Purchase",C346&lt;&gt;"Adjustment"),COUNTIFS(Products!$A$6:$A$105,D346)&lt;&gt;1,NOT(ISNUMBER(E346)),E346=0,AND(C346&lt;&gt;"Adjustment",E346&lt;0)),"Check inputs",IF(AND(C346="Sale",OR(NOT(ISNUMBER(F346)),NOT(ISNUMBER(G346)),NOT(ISNUMBER(H346)),F346&lt;0,G346&lt;0,H346&lt;0,G346&gt;E346*F346)),"Check sale amounts","OK")))</x:f>
      </x:c>
      <x:c r="K346" s="38" t="str">
        <x:f>IF(J346="","",IF(J346&lt;&gt;"OK","Fix row",IF(C346="Sale",E346*F346-G346,0)))</x:f>
      </x:c>
      <x:c r="L346" s="38" t="str">
        <x:f>IF(J346="","",IF(J346&lt;&gt;"OK","Fix row",IF(C346="Sale",K346-E346*H346,0)))</x:f>
      </x:c>
    </x:row>
    <x:row r="347" ht="27" customHeight="1">
      <x:c r="A347" s="40"/>
      <x:c r="B347" s="41"/>
      <x:c r="C347" s="41"/>
      <x:c r="D347" s="41"/>
      <x:c r="E347" s="41"/>
      <x:c r="F347" s="42"/>
      <x:c r="G347" s="42"/>
      <x:c r="H347" s="42"/>
      <x:c r="I347" s="41"/>
      <x:c r="J347" s="34" t="str">
        <x:f>IF(COUNTA(A347:I347)=0,"",IF(OR(NOT(ISNUMBER(A347)),B347="",AND(C347&lt;&gt;"Sale",C347&lt;&gt;"Purchase",C347&lt;&gt;"Adjustment"),COUNTIFS(Products!$A$6:$A$105,D347)&lt;&gt;1,NOT(ISNUMBER(E347)),E347=0,AND(C347&lt;&gt;"Adjustment",E347&lt;0)),"Check inputs",IF(AND(C347="Sale",OR(NOT(ISNUMBER(F347)),NOT(ISNUMBER(G347)),NOT(ISNUMBER(H347)),F347&lt;0,G347&lt;0,H347&lt;0,G347&gt;E347*F347)),"Check sale amounts","OK")))</x:f>
      </x:c>
      <x:c r="K347" s="35" t="str">
        <x:f>IF(J347="","",IF(J347&lt;&gt;"OK","Fix row",IF(C347="Sale",E347*F347-G347,0)))</x:f>
      </x:c>
      <x:c r="L347" s="35" t="str">
        <x:f>IF(J347="","",IF(J347&lt;&gt;"OK","Fix row",IF(C347="Sale",K347-E347*H347,0)))</x:f>
      </x:c>
    </x:row>
    <x:row r="348" ht="27" customHeight="1">
      <x:c r="A348" s="40"/>
      <x:c r="B348" s="41"/>
      <x:c r="C348" s="41"/>
      <x:c r="D348" s="41"/>
      <x:c r="E348" s="41"/>
      <x:c r="F348" s="42"/>
      <x:c r="G348" s="42"/>
      <x:c r="H348" s="42"/>
      <x:c r="I348" s="41"/>
      <x:c r="J348" s="37" t="str">
        <x:f>IF(COUNTA(A348:I348)=0,"",IF(OR(NOT(ISNUMBER(A348)),B348="",AND(C348&lt;&gt;"Sale",C348&lt;&gt;"Purchase",C348&lt;&gt;"Adjustment"),COUNTIFS(Products!$A$6:$A$105,D348)&lt;&gt;1,NOT(ISNUMBER(E348)),E348=0,AND(C348&lt;&gt;"Adjustment",E348&lt;0)),"Check inputs",IF(AND(C348="Sale",OR(NOT(ISNUMBER(F348)),NOT(ISNUMBER(G348)),NOT(ISNUMBER(H348)),F348&lt;0,G348&lt;0,H348&lt;0,G348&gt;E348*F348)),"Check sale amounts","OK")))</x:f>
      </x:c>
      <x:c r="K348" s="38" t="str">
        <x:f>IF(J348="","",IF(J348&lt;&gt;"OK","Fix row",IF(C348="Sale",E348*F348-G348,0)))</x:f>
      </x:c>
      <x:c r="L348" s="38" t="str">
        <x:f>IF(J348="","",IF(J348&lt;&gt;"OK","Fix row",IF(C348="Sale",K348-E348*H348,0)))</x:f>
      </x:c>
    </x:row>
    <x:row r="349" ht="27" customHeight="1">
      <x:c r="A349" s="40"/>
      <x:c r="B349" s="41"/>
      <x:c r="C349" s="41"/>
      <x:c r="D349" s="41"/>
      <x:c r="E349" s="41"/>
      <x:c r="F349" s="42"/>
      <x:c r="G349" s="42"/>
      <x:c r="H349" s="42"/>
      <x:c r="I349" s="41"/>
      <x:c r="J349" s="34" t="str">
        <x:f>IF(COUNTA(A349:I349)=0,"",IF(OR(NOT(ISNUMBER(A349)),B349="",AND(C349&lt;&gt;"Sale",C349&lt;&gt;"Purchase",C349&lt;&gt;"Adjustment"),COUNTIFS(Products!$A$6:$A$105,D349)&lt;&gt;1,NOT(ISNUMBER(E349)),E349=0,AND(C349&lt;&gt;"Adjustment",E349&lt;0)),"Check inputs",IF(AND(C349="Sale",OR(NOT(ISNUMBER(F349)),NOT(ISNUMBER(G349)),NOT(ISNUMBER(H349)),F349&lt;0,G349&lt;0,H349&lt;0,G349&gt;E349*F349)),"Check sale amounts","OK")))</x:f>
      </x:c>
      <x:c r="K349" s="35" t="str">
        <x:f>IF(J349="","",IF(J349&lt;&gt;"OK","Fix row",IF(C349="Sale",E349*F349-G349,0)))</x:f>
      </x:c>
      <x:c r="L349" s="35" t="str">
        <x:f>IF(J349="","",IF(J349&lt;&gt;"OK","Fix row",IF(C349="Sale",K349-E349*H349,0)))</x:f>
      </x:c>
    </x:row>
    <x:row r="350" ht="27" customHeight="1">
      <x:c r="A350" s="40"/>
      <x:c r="B350" s="41"/>
      <x:c r="C350" s="41"/>
      <x:c r="D350" s="41"/>
      <x:c r="E350" s="41"/>
      <x:c r="F350" s="42"/>
      <x:c r="G350" s="42"/>
      <x:c r="H350" s="42"/>
      <x:c r="I350" s="41"/>
      <x:c r="J350" s="37" t="str">
        <x:f>IF(COUNTA(A350:I350)=0,"",IF(OR(NOT(ISNUMBER(A350)),B350="",AND(C350&lt;&gt;"Sale",C350&lt;&gt;"Purchase",C350&lt;&gt;"Adjustment"),COUNTIFS(Products!$A$6:$A$105,D350)&lt;&gt;1,NOT(ISNUMBER(E350)),E350=0,AND(C350&lt;&gt;"Adjustment",E350&lt;0)),"Check inputs",IF(AND(C350="Sale",OR(NOT(ISNUMBER(F350)),NOT(ISNUMBER(G350)),NOT(ISNUMBER(H350)),F350&lt;0,G350&lt;0,H350&lt;0,G350&gt;E350*F350)),"Check sale amounts","OK")))</x:f>
      </x:c>
      <x:c r="K350" s="38" t="str">
        <x:f>IF(J350="","",IF(J350&lt;&gt;"OK","Fix row",IF(C350="Sale",E350*F350-G350,0)))</x:f>
      </x:c>
      <x:c r="L350" s="38" t="str">
        <x:f>IF(J350="","",IF(J350&lt;&gt;"OK","Fix row",IF(C350="Sale",K350-E350*H350,0)))</x:f>
      </x:c>
    </x:row>
    <x:row r="351" ht="27" customHeight="1">
      <x:c r="A351" s="40"/>
      <x:c r="B351" s="41"/>
      <x:c r="C351" s="41"/>
      <x:c r="D351" s="41"/>
      <x:c r="E351" s="41"/>
      <x:c r="F351" s="42"/>
      <x:c r="G351" s="42"/>
      <x:c r="H351" s="42"/>
      <x:c r="I351" s="41"/>
      <x:c r="J351" s="34" t="str">
        <x:f>IF(COUNTA(A351:I351)=0,"",IF(OR(NOT(ISNUMBER(A351)),B351="",AND(C351&lt;&gt;"Sale",C351&lt;&gt;"Purchase",C351&lt;&gt;"Adjustment"),COUNTIFS(Products!$A$6:$A$105,D351)&lt;&gt;1,NOT(ISNUMBER(E351)),E351=0,AND(C351&lt;&gt;"Adjustment",E351&lt;0)),"Check inputs",IF(AND(C351="Sale",OR(NOT(ISNUMBER(F351)),NOT(ISNUMBER(G351)),NOT(ISNUMBER(H351)),F351&lt;0,G351&lt;0,H351&lt;0,G351&gt;E351*F351)),"Check sale amounts","OK")))</x:f>
      </x:c>
      <x:c r="K351" s="35" t="str">
        <x:f>IF(J351="","",IF(J351&lt;&gt;"OK","Fix row",IF(C351="Sale",E351*F351-G351,0)))</x:f>
      </x:c>
      <x:c r="L351" s="35" t="str">
        <x:f>IF(J351="","",IF(J351&lt;&gt;"OK","Fix row",IF(C351="Sale",K351-E351*H351,0)))</x:f>
      </x:c>
    </x:row>
    <x:row r="352" ht="27" customHeight="1">
      <x:c r="A352" s="40"/>
      <x:c r="B352" s="41"/>
      <x:c r="C352" s="41"/>
      <x:c r="D352" s="41"/>
      <x:c r="E352" s="41"/>
      <x:c r="F352" s="42"/>
      <x:c r="G352" s="42"/>
      <x:c r="H352" s="42"/>
      <x:c r="I352" s="41"/>
      <x:c r="J352" s="37" t="str">
        <x:f>IF(COUNTA(A352:I352)=0,"",IF(OR(NOT(ISNUMBER(A352)),B352="",AND(C352&lt;&gt;"Sale",C352&lt;&gt;"Purchase",C352&lt;&gt;"Adjustment"),COUNTIFS(Products!$A$6:$A$105,D352)&lt;&gt;1,NOT(ISNUMBER(E352)),E352=0,AND(C352&lt;&gt;"Adjustment",E352&lt;0)),"Check inputs",IF(AND(C352="Sale",OR(NOT(ISNUMBER(F352)),NOT(ISNUMBER(G352)),NOT(ISNUMBER(H352)),F352&lt;0,G352&lt;0,H352&lt;0,G352&gt;E352*F352)),"Check sale amounts","OK")))</x:f>
      </x:c>
      <x:c r="K352" s="38" t="str">
        <x:f>IF(J352="","",IF(J352&lt;&gt;"OK","Fix row",IF(C352="Sale",E352*F352-G352,0)))</x:f>
      </x:c>
      <x:c r="L352" s="38" t="str">
        <x:f>IF(J352="","",IF(J352&lt;&gt;"OK","Fix row",IF(C352="Sale",K352-E352*H352,0)))</x:f>
      </x:c>
    </x:row>
    <x:row r="353" ht="27" customHeight="1">
      <x:c r="A353" s="40"/>
      <x:c r="B353" s="41"/>
      <x:c r="C353" s="41"/>
      <x:c r="D353" s="41"/>
      <x:c r="E353" s="41"/>
      <x:c r="F353" s="42"/>
      <x:c r="G353" s="42"/>
      <x:c r="H353" s="42"/>
      <x:c r="I353" s="41"/>
      <x:c r="J353" s="34" t="str">
        <x:f>IF(COUNTA(A353:I353)=0,"",IF(OR(NOT(ISNUMBER(A353)),B353="",AND(C353&lt;&gt;"Sale",C353&lt;&gt;"Purchase",C353&lt;&gt;"Adjustment"),COUNTIFS(Products!$A$6:$A$105,D353)&lt;&gt;1,NOT(ISNUMBER(E353)),E353=0,AND(C353&lt;&gt;"Adjustment",E353&lt;0)),"Check inputs",IF(AND(C353="Sale",OR(NOT(ISNUMBER(F353)),NOT(ISNUMBER(G353)),NOT(ISNUMBER(H353)),F353&lt;0,G353&lt;0,H353&lt;0,G353&gt;E353*F353)),"Check sale amounts","OK")))</x:f>
      </x:c>
      <x:c r="K353" s="35" t="str">
        <x:f>IF(J353="","",IF(J353&lt;&gt;"OK","Fix row",IF(C353="Sale",E353*F353-G353,0)))</x:f>
      </x:c>
      <x:c r="L353" s="35" t="str">
        <x:f>IF(J353="","",IF(J353&lt;&gt;"OK","Fix row",IF(C353="Sale",K353-E353*H353,0)))</x:f>
      </x:c>
    </x:row>
    <x:row r="354" ht="27" customHeight="1">
      <x:c r="A354" s="40"/>
      <x:c r="B354" s="41"/>
      <x:c r="C354" s="41"/>
      <x:c r="D354" s="41"/>
      <x:c r="E354" s="41"/>
      <x:c r="F354" s="42"/>
      <x:c r="G354" s="42"/>
      <x:c r="H354" s="42"/>
      <x:c r="I354" s="41"/>
      <x:c r="J354" s="37" t="str">
        <x:f>IF(COUNTA(A354:I354)=0,"",IF(OR(NOT(ISNUMBER(A354)),B354="",AND(C354&lt;&gt;"Sale",C354&lt;&gt;"Purchase",C354&lt;&gt;"Adjustment"),COUNTIFS(Products!$A$6:$A$105,D354)&lt;&gt;1,NOT(ISNUMBER(E354)),E354=0,AND(C354&lt;&gt;"Adjustment",E354&lt;0)),"Check inputs",IF(AND(C354="Sale",OR(NOT(ISNUMBER(F354)),NOT(ISNUMBER(G354)),NOT(ISNUMBER(H354)),F354&lt;0,G354&lt;0,H354&lt;0,G354&gt;E354*F354)),"Check sale amounts","OK")))</x:f>
      </x:c>
      <x:c r="K354" s="38" t="str">
        <x:f>IF(J354="","",IF(J354&lt;&gt;"OK","Fix row",IF(C354="Sale",E354*F354-G354,0)))</x:f>
      </x:c>
      <x:c r="L354" s="38" t="str">
        <x:f>IF(J354="","",IF(J354&lt;&gt;"OK","Fix row",IF(C354="Sale",K354-E354*H354,0)))</x:f>
      </x:c>
    </x:row>
    <x:row r="355" ht="27" customHeight="1">
      <x:c r="A355" s="40"/>
      <x:c r="B355" s="41"/>
      <x:c r="C355" s="41"/>
      <x:c r="D355" s="41"/>
      <x:c r="E355" s="41"/>
      <x:c r="F355" s="42"/>
      <x:c r="G355" s="42"/>
      <x:c r="H355" s="42"/>
      <x:c r="I355" s="41"/>
      <x:c r="J355" s="34" t="str">
        <x:f>IF(COUNTA(A355:I355)=0,"",IF(OR(NOT(ISNUMBER(A355)),B355="",AND(C355&lt;&gt;"Sale",C355&lt;&gt;"Purchase",C355&lt;&gt;"Adjustment"),COUNTIFS(Products!$A$6:$A$105,D355)&lt;&gt;1,NOT(ISNUMBER(E355)),E355=0,AND(C355&lt;&gt;"Adjustment",E355&lt;0)),"Check inputs",IF(AND(C355="Sale",OR(NOT(ISNUMBER(F355)),NOT(ISNUMBER(G355)),NOT(ISNUMBER(H355)),F355&lt;0,G355&lt;0,H355&lt;0,G355&gt;E355*F355)),"Check sale amounts","OK")))</x:f>
      </x:c>
      <x:c r="K355" s="35" t="str">
        <x:f>IF(J355="","",IF(J355&lt;&gt;"OK","Fix row",IF(C355="Sale",E355*F355-G355,0)))</x:f>
      </x:c>
      <x:c r="L355" s="35" t="str">
        <x:f>IF(J355="","",IF(J355&lt;&gt;"OK","Fix row",IF(C355="Sale",K355-E355*H355,0)))</x:f>
      </x:c>
    </x:row>
    <x:row r="356" ht="27" customHeight="1">
      <x:c r="A356" s="40"/>
      <x:c r="B356" s="41"/>
      <x:c r="C356" s="41"/>
      <x:c r="D356" s="41"/>
      <x:c r="E356" s="41"/>
      <x:c r="F356" s="42"/>
      <x:c r="G356" s="42"/>
      <x:c r="H356" s="42"/>
      <x:c r="I356" s="41"/>
      <x:c r="J356" s="37" t="str">
        <x:f>IF(COUNTA(A356:I356)=0,"",IF(OR(NOT(ISNUMBER(A356)),B356="",AND(C356&lt;&gt;"Sale",C356&lt;&gt;"Purchase",C356&lt;&gt;"Adjustment"),COUNTIFS(Products!$A$6:$A$105,D356)&lt;&gt;1,NOT(ISNUMBER(E356)),E356=0,AND(C356&lt;&gt;"Adjustment",E356&lt;0)),"Check inputs",IF(AND(C356="Sale",OR(NOT(ISNUMBER(F356)),NOT(ISNUMBER(G356)),NOT(ISNUMBER(H356)),F356&lt;0,G356&lt;0,H356&lt;0,G356&gt;E356*F356)),"Check sale amounts","OK")))</x:f>
      </x:c>
      <x:c r="K356" s="38" t="str">
        <x:f>IF(J356="","",IF(J356&lt;&gt;"OK","Fix row",IF(C356="Sale",E356*F356-G356,0)))</x:f>
      </x:c>
      <x:c r="L356" s="38" t="str">
        <x:f>IF(J356="","",IF(J356&lt;&gt;"OK","Fix row",IF(C356="Sale",K356-E356*H356,0)))</x:f>
      </x:c>
    </x:row>
    <x:row r="357" ht="27" customHeight="1">
      <x:c r="A357" s="40"/>
      <x:c r="B357" s="41"/>
      <x:c r="C357" s="41"/>
      <x:c r="D357" s="41"/>
      <x:c r="E357" s="41"/>
      <x:c r="F357" s="42"/>
      <x:c r="G357" s="42"/>
      <x:c r="H357" s="42"/>
      <x:c r="I357" s="41"/>
      <x:c r="J357" s="34" t="str">
        <x:f>IF(COUNTA(A357:I357)=0,"",IF(OR(NOT(ISNUMBER(A357)),B357="",AND(C357&lt;&gt;"Sale",C357&lt;&gt;"Purchase",C357&lt;&gt;"Adjustment"),COUNTIFS(Products!$A$6:$A$105,D357)&lt;&gt;1,NOT(ISNUMBER(E357)),E357=0,AND(C357&lt;&gt;"Adjustment",E357&lt;0)),"Check inputs",IF(AND(C357="Sale",OR(NOT(ISNUMBER(F357)),NOT(ISNUMBER(G357)),NOT(ISNUMBER(H357)),F357&lt;0,G357&lt;0,H357&lt;0,G357&gt;E357*F357)),"Check sale amounts","OK")))</x:f>
      </x:c>
      <x:c r="K357" s="35" t="str">
        <x:f>IF(J357="","",IF(J357&lt;&gt;"OK","Fix row",IF(C357="Sale",E357*F357-G357,0)))</x:f>
      </x:c>
      <x:c r="L357" s="35" t="str">
        <x:f>IF(J357="","",IF(J357&lt;&gt;"OK","Fix row",IF(C357="Sale",K357-E357*H357,0)))</x:f>
      </x:c>
    </x:row>
    <x:row r="358" ht="27" customHeight="1">
      <x:c r="A358" s="40"/>
      <x:c r="B358" s="41"/>
      <x:c r="C358" s="41"/>
      <x:c r="D358" s="41"/>
      <x:c r="E358" s="41"/>
      <x:c r="F358" s="42"/>
      <x:c r="G358" s="42"/>
      <x:c r="H358" s="42"/>
      <x:c r="I358" s="41"/>
      <x:c r="J358" s="37" t="str">
        <x:f>IF(COUNTA(A358:I358)=0,"",IF(OR(NOT(ISNUMBER(A358)),B358="",AND(C358&lt;&gt;"Sale",C358&lt;&gt;"Purchase",C358&lt;&gt;"Adjustment"),COUNTIFS(Products!$A$6:$A$105,D358)&lt;&gt;1,NOT(ISNUMBER(E358)),E358=0,AND(C358&lt;&gt;"Adjustment",E358&lt;0)),"Check inputs",IF(AND(C358="Sale",OR(NOT(ISNUMBER(F358)),NOT(ISNUMBER(G358)),NOT(ISNUMBER(H358)),F358&lt;0,G358&lt;0,H358&lt;0,G358&gt;E358*F358)),"Check sale amounts","OK")))</x:f>
      </x:c>
      <x:c r="K358" s="38" t="str">
        <x:f>IF(J358="","",IF(J358&lt;&gt;"OK","Fix row",IF(C358="Sale",E358*F358-G358,0)))</x:f>
      </x:c>
      <x:c r="L358" s="38" t="str">
        <x:f>IF(J358="","",IF(J358&lt;&gt;"OK","Fix row",IF(C358="Sale",K358-E358*H358,0)))</x:f>
      </x:c>
    </x:row>
    <x:row r="359" ht="27" customHeight="1">
      <x:c r="A359" s="40"/>
      <x:c r="B359" s="41"/>
      <x:c r="C359" s="41"/>
      <x:c r="D359" s="41"/>
      <x:c r="E359" s="41"/>
      <x:c r="F359" s="42"/>
      <x:c r="G359" s="42"/>
      <x:c r="H359" s="42"/>
      <x:c r="I359" s="41"/>
      <x:c r="J359" s="34" t="str">
        <x:f>IF(COUNTA(A359:I359)=0,"",IF(OR(NOT(ISNUMBER(A359)),B359="",AND(C359&lt;&gt;"Sale",C359&lt;&gt;"Purchase",C359&lt;&gt;"Adjustment"),COUNTIFS(Products!$A$6:$A$105,D359)&lt;&gt;1,NOT(ISNUMBER(E359)),E359=0,AND(C359&lt;&gt;"Adjustment",E359&lt;0)),"Check inputs",IF(AND(C359="Sale",OR(NOT(ISNUMBER(F359)),NOT(ISNUMBER(G359)),NOT(ISNUMBER(H359)),F359&lt;0,G359&lt;0,H359&lt;0,G359&gt;E359*F359)),"Check sale amounts","OK")))</x:f>
      </x:c>
      <x:c r="K359" s="35" t="str">
        <x:f>IF(J359="","",IF(J359&lt;&gt;"OK","Fix row",IF(C359="Sale",E359*F359-G359,0)))</x:f>
      </x:c>
      <x:c r="L359" s="35" t="str">
        <x:f>IF(J359="","",IF(J359&lt;&gt;"OK","Fix row",IF(C359="Sale",K359-E359*H359,0)))</x:f>
      </x:c>
    </x:row>
    <x:row r="360" ht="27" customHeight="1">
      <x:c r="A360" s="40"/>
      <x:c r="B360" s="41"/>
      <x:c r="C360" s="41"/>
      <x:c r="D360" s="41"/>
      <x:c r="E360" s="41"/>
      <x:c r="F360" s="42"/>
      <x:c r="G360" s="42"/>
      <x:c r="H360" s="42"/>
      <x:c r="I360" s="41"/>
      <x:c r="J360" s="37" t="str">
        <x:f>IF(COUNTA(A360:I360)=0,"",IF(OR(NOT(ISNUMBER(A360)),B360="",AND(C360&lt;&gt;"Sale",C360&lt;&gt;"Purchase",C360&lt;&gt;"Adjustment"),COUNTIFS(Products!$A$6:$A$105,D360)&lt;&gt;1,NOT(ISNUMBER(E360)),E360=0,AND(C360&lt;&gt;"Adjustment",E360&lt;0)),"Check inputs",IF(AND(C360="Sale",OR(NOT(ISNUMBER(F360)),NOT(ISNUMBER(G360)),NOT(ISNUMBER(H360)),F360&lt;0,G360&lt;0,H360&lt;0,G360&gt;E360*F360)),"Check sale amounts","OK")))</x:f>
      </x:c>
      <x:c r="K360" s="38" t="str">
        <x:f>IF(J360="","",IF(J360&lt;&gt;"OK","Fix row",IF(C360="Sale",E360*F360-G360,0)))</x:f>
      </x:c>
      <x:c r="L360" s="38" t="str">
        <x:f>IF(J360="","",IF(J360&lt;&gt;"OK","Fix row",IF(C360="Sale",K360-E360*H360,0)))</x:f>
      </x:c>
    </x:row>
    <x:row r="361" ht="27" customHeight="1">
      <x:c r="A361" s="40"/>
      <x:c r="B361" s="41"/>
      <x:c r="C361" s="41"/>
      <x:c r="D361" s="41"/>
      <x:c r="E361" s="41"/>
      <x:c r="F361" s="42"/>
      <x:c r="G361" s="42"/>
      <x:c r="H361" s="42"/>
      <x:c r="I361" s="41"/>
      <x:c r="J361" s="34" t="str">
        <x:f>IF(COUNTA(A361:I361)=0,"",IF(OR(NOT(ISNUMBER(A361)),B361="",AND(C361&lt;&gt;"Sale",C361&lt;&gt;"Purchase",C361&lt;&gt;"Adjustment"),COUNTIFS(Products!$A$6:$A$105,D361)&lt;&gt;1,NOT(ISNUMBER(E361)),E361=0,AND(C361&lt;&gt;"Adjustment",E361&lt;0)),"Check inputs",IF(AND(C361="Sale",OR(NOT(ISNUMBER(F361)),NOT(ISNUMBER(G361)),NOT(ISNUMBER(H361)),F361&lt;0,G361&lt;0,H361&lt;0,G361&gt;E361*F361)),"Check sale amounts","OK")))</x:f>
      </x:c>
      <x:c r="K361" s="35" t="str">
        <x:f>IF(J361="","",IF(J361&lt;&gt;"OK","Fix row",IF(C361="Sale",E361*F361-G361,0)))</x:f>
      </x:c>
      <x:c r="L361" s="35" t="str">
        <x:f>IF(J361="","",IF(J361&lt;&gt;"OK","Fix row",IF(C361="Sale",K361-E361*H361,0)))</x:f>
      </x:c>
    </x:row>
    <x:row r="362" ht="27" customHeight="1">
      <x:c r="A362" s="40"/>
      <x:c r="B362" s="41"/>
      <x:c r="C362" s="41"/>
      <x:c r="D362" s="41"/>
      <x:c r="E362" s="41"/>
      <x:c r="F362" s="42"/>
      <x:c r="G362" s="42"/>
      <x:c r="H362" s="42"/>
      <x:c r="I362" s="41"/>
      <x:c r="J362" s="37" t="str">
        <x:f>IF(COUNTA(A362:I362)=0,"",IF(OR(NOT(ISNUMBER(A362)),B362="",AND(C362&lt;&gt;"Sale",C362&lt;&gt;"Purchase",C362&lt;&gt;"Adjustment"),COUNTIFS(Products!$A$6:$A$105,D362)&lt;&gt;1,NOT(ISNUMBER(E362)),E362=0,AND(C362&lt;&gt;"Adjustment",E362&lt;0)),"Check inputs",IF(AND(C362="Sale",OR(NOT(ISNUMBER(F362)),NOT(ISNUMBER(G362)),NOT(ISNUMBER(H362)),F362&lt;0,G362&lt;0,H362&lt;0,G362&gt;E362*F362)),"Check sale amounts","OK")))</x:f>
      </x:c>
      <x:c r="K362" s="38" t="str">
        <x:f>IF(J362="","",IF(J362&lt;&gt;"OK","Fix row",IF(C362="Sale",E362*F362-G362,0)))</x:f>
      </x:c>
      <x:c r="L362" s="38" t="str">
        <x:f>IF(J362="","",IF(J362&lt;&gt;"OK","Fix row",IF(C362="Sale",K362-E362*H362,0)))</x:f>
      </x:c>
    </x:row>
    <x:row r="363" ht="27" customHeight="1">
      <x:c r="A363" s="40"/>
      <x:c r="B363" s="41"/>
      <x:c r="C363" s="41"/>
      <x:c r="D363" s="41"/>
      <x:c r="E363" s="41"/>
      <x:c r="F363" s="42"/>
      <x:c r="G363" s="42"/>
      <x:c r="H363" s="42"/>
      <x:c r="I363" s="41"/>
      <x:c r="J363" s="34" t="str">
        <x:f>IF(COUNTA(A363:I363)=0,"",IF(OR(NOT(ISNUMBER(A363)),B363="",AND(C363&lt;&gt;"Sale",C363&lt;&gt;"Purchase",C363&lt;&gt;"Adjustment"),COUNTIFS(Products!$A$6:$A$105,D363)&lt;&gt;1,NOT(ISNUMBER(E363)),E363=0,AND(C363&lt;&gt;"Adjustment",E363&lt;0)),"Check inputs",IF(AND(C363="Sale",OR(NOT(ISNUMBER(F363)),NOT(ISNUMBER(G363)),NOT(ISNUMBER(H363)),F363&lt;0,G363&lt;0,H363&lt;0,G363&gt;E363*F363)),"Check sale amounts","OK")))</x:f>
      </x:c>
      <x:c r="K363" s="35" t="str">
        <x:f>IF(J363="","",IF(J363&lt;&gt;"OK","Fix row",IF(C363="Sale",E363*F363-G363,0)))</x:f>
      </x:c>
      <x:c r="L363" s="35" t="str">
        <x:f>IF(J363="","",IF(J363&lt;&gt;"OK","Fix row",IF(C363="Sale",K363-E363*H363,0)))</x:f>
      </x:c>
    </x:row>
    <x:row r="364" ht="27" customHeight="1">
      <x:c r="A364" s="40"/>
      <x:c r="B364" s="41"/>
      <x:c r="C364" s="41"/>
      <x:c r="D364" s="41"/>
      <x:c r="E364" s="41"/>
      <x:c r="F364" s="42"/>
      <x:c r="G364" s="42"/>
      <x:c r="H364" s="42"/>
      <x:c r="I364" s="41"/>
      <x:c r="J364" s="37" t="str">
        <x:f>IF(COUNTA(A364:I364)=0,"",IF(OR(NOT(ISNUMBER(A364)),B364="",AND(C364&lt;&gt;"Sale",C364&lt;&gt;"Purchase",C364&lt;&gt;"Adjustment"),COUNTIFS(Products!$A$6:$A$105,D364)&lt;&gt;1,NOT(ISNUMBER(E364)),E364=0,AND(C364&lt;&gt;"Adjustment",E364&lt;0)),"Check inputs",IF(AND(C364="Sale",OR(NOT(ISNUMBER(F364)),NOT(ISNUMBER(G364)),NOT(ISNUMBER(H364)),F364&lt;0,G364&lt;0,H364&lt;0,G364&gt;E364*F364)),"Check sale amounts","OK")))</x:f>
      </x:c>
      <x:c r="K364" s="38" t="str">
        <x:f>IF(J364="","",IF(J364&lt;&gt;"OK","Fix row",IF(C364="Sale",E364*F364-G364,0)))</x:f>
      </x:c>
      <x:c r="L364" s="38" t="str">
        <x:f>IF(J364="","",IF(J364&lt;&gt;"OK","Fix row",IF(C364="Sale",K364-E364*H364,0)))</x:f>
      </x:c>
    </x:row>
    <x:row r="365" ht="27" customHeight="1">
      <x:c r="A365" s="40"/>
      <x:c r="B365" s="41"/>
      <x:c r="C365" s="41"/>
      <x:c r="D365" s="41"/>
      <x:c r="E365" s="41"/>
      <x:c r="F365" s="42"/>
      <x:c r="G365" s="42"/>
      <x:c r="H365" s="42"/>
      <x:c r="I365" s="41"/>
      <x:c r="J365" s="34" t="str">
        <x:f>IF(COUNTA(A365:I365)=0,"",IF(OR(NOT(ISNUMBER(A365)),B365="",AND(C365&lt;&gt;"Sale",C365&lt;&gt;"Purchase",C365&lt;&gt;"Adjustment"),COUNTIFS(Products!$A$6:$A$105,D365)&lt;&gt;1,NOT(ISNUMBER(E365)),E365=0,AND(C365&lt;&gt;"Adjustment",E365&lt;0)),"Check inputs",IF(AND(C365="Sale",OR(NOT(ISNUMBER(F365)),NOT(ISNUMBER(G365)),NOT(ISNUMBER(H365)),F365&lt;0,G365&lt;0,H365&lt;0,G365&gt;E365*F365)),"Check sale amounts","OK")))</x:f>
      </x:c>
      <x:c r="K365" s="35" t="str">
        <x:f>IF(J365="","",IF(J365&lt;&gt;"OK","Fix row",IF(C365="Sale",E365*F365-G365,0)))</x:f>
      </x:c>
      <x:c r="L365" s="35" t="str">
        <x:f>IF(J365="","",IF(J365&lt;&gt;"OK","Fix row",IF(C365="Sale",K365-E365*H365,0)))</x:f>
      </x:c>
    </x:row>
    <x:row r="366" ht="27" customHeight="1">
      <x:c r="A366" s="40"/>
      <x:c r="B366" s="41"/>
      <x:c r="C366" s="41"/>
      <x:c r="D366" s="41"/>
      <x:c r="E366" s="41"/>
      <x:c r="F366" s="42"/>
      <x:c r="G366" s="42"/>
      <x:c r="H366" s="42"/>
      <x:c r="I366" s="41"/>
      <x:c r="J366" s="37" t="str">
        <x:f>IF(COUNTA(A366:I366)=0,"",IF(OR(NOT(ISNUMBER(A366)),B366="",AND(C366&lt;&gt;"Sale",C366&lt;&gt;"Purchase",C366&lt;&gt;"Adjustment"),COUNTIFS(Products!$A$6:$A$105,D366)&lt;&gt;1,NOT(ISNUMBER(E366)),E366=0,AND(C366&lt;&gt;"Adjustment",E366&lt;0)),"Check inputs",IF(AND(C366="Sale",OR(NOT(ISNUMBER(F366)),NOT(ISNUMBER(G366)),NOT(ISNUMBER(H366)),F366&lt;0,G366&lt;0,H366&lt;0,G366&gt;E366*F366)),"Check sale amounts","OK")))</x:f>
      </x:c>
      <x:c r="K366" s="38" t="str">
        <x:f>IF(J366="","",IF(J366&lt;&gt;"OK","Fix row",IF(C366="Sale",E366*F366-G366,0)))</x:f>
      </x:c>
      <x:c r="L366" s="38" t="str">
        <x:f>IF(J366="","",IF(J366&lt;&gt;"OK","Fix row",IF(C366="Sale",K366-E366*H366,0)))</x:f>
      </x:c>
    </x:row>
    <x:row r="367" ht="27" customHeight="1">
      <x:c r="A367" s="40"/>
      <x:c r="B367" s="41"/>
      <x:c r="C367" s="41"/>
      <x:c r="D367" s="41"/>
      <x:c r="E367" s="41"/>
      <x:c r="F367" s="42"/>
      <x:c r="G367" s="42"/>
      <x:c r="H367" s="42"/>
      <x:c r="I367" s="41"/>
      <x:c r="J367" s="34" t="str">
        <x:f>IF(COUNTA(A367:I367)=0,"",IF(OR(NOT(ISNUMBER(A367)),B367="",AND(C367&lt;&gt;"Sale",C367&lt;&gt;"Purchase",C367&lt;&gt;"Adjustment"),COUNTIFS(Products!$A$6:$A$105,D367)&lt;&gt;1,NOT(ISNUMBER(E367)),E367=0,AND(C367&lt;&gt;"Adjustment",E367&lt;0)),"Check inputs",IF(AND(C367="Sale",OR(NOT(ISNUMBER(F367)),NOT(ISNUMBER(G367)),NOT(ISNUMBER(H367)),F367&lt;0,G367&lt;0,H367&lt;0,G367&gt;E367*F367)),"Check sale amounts","OK")))</x:f>
      </x:c>
      <x:c r="K367" s="35" t="str">
        <x:f>IF(J367="","",IF(J367&lt;&gt;"OK","Fix row",IF(C367="Sale",E367*F367-G367,0)))</x:f>
      </x:c>
      <x:c r="L367" s="35" t="str">
        <x:f>IF(J367="","",IF(J367&lt;&gt;"OK","Fix row",IF(C367="Sale",K367-E367*H367,0)))</x:f>
      </x:c>
    </x:row>
    <x:row r="368" ht="27" customHeight="1">
      <x:c r="A368" s="40"/>
      <x:c r="B368" s="41"/>
      <x:c r="C368" s="41"/>
      <x:c r="D368" s="41"/>
      <x:c r="E368" s="41"/>
      <x:c r="F368" s="42"/>
      <x:c r="G368" s="42"/>
      <x:c r="H368" s="42"/>
      <x:c r="I368" s="41"/>
      <x:c r="J368" s="37" t="str">
        <x:f>IF(COUNTA(A368:I368)=0,"",IF(OR(NOT(ISNUMBER(A368)),B368="",AND(C368&lt;&gt;"Sale",C368&lt;&gt;"Purchase",C368&lt;&gt;"Adjustment"),COUNTIFS(Products!$A$6:$A$105,D368)&lt;&gt;1,NOT(ISNUMBER(E368)),E368=0,AND(C368&lt;&gt;"Adjustment",E368&lt;0)),"Check inputs",IF(AND(C368="Sale",OR(NOT(ISNUMBER(F368)),NOT(ISNUMBER(G368)),NOT(ISNUMBER(H368)),F368&lt;0,G368&lt;0,H368&lt;0,G368&gt;E368*F368)),"Check sale amounts","OK")))</x:f>
      </x:c>
      <x:c r="K368" s="38" t="str">
        <x:f>IF(J368="","",IF(J368&lt;&gt;"OK","Fix row",IF(C368="Sale",E368*F368-G368,0)))</x:f>
      </x:c>
      <x:c r="L368" s="38" t="str">
        <x:f>IF(J368="","",IF(J368&lt;&gt;"OK","Fix row",IF(C368="Sale",K368-E368*H368,0)))</x:f>
      </x:c>
    </x:row>
    <x:row r="369" ht="27" customHeight="1">
      <x:c r="A369" s="40"/>
      <x:c r="B369" s="41"/>
      <x:c r="C369" s="41"/>
      <x:c r="D369" s="41"/>
      <x:c r="E369" s="41"/>
      <x:c r="F369" s="42"/>
      <x:c r="G369" s="42"/>
      <x:c r="H369" s="42"/>
      <x:c r="I369" s="41"/>
      <x:c r="J369" s="34" t="str">
        <x:f>IF(COUNTA(A369:I369)=0,"",IF(OR(NOT(ISNUMBER(A369)),B369="",AND(C369&lt;&gt;"Sale",C369&lt;&gt;"Purchase",C369&lt;&gt;"Adjustment"),COUNTIFS(Products!$A$6:$A$105,D369)&lt;&gt;1,NOT(ISNUMBER(E369)),E369=0,AND(C369&lt;&gt;"Adjustment",E369&lt;0)),"Check inputs",IF(AND(C369="Sale",OR(NOT(ISNUMBER(F369)),NOT(ISNUMBER(G369)),NOT(ISNUMBER(H369)),F369&lt;0,G369&lt;0,H369&lt;0,G369&gt;E369*F369)),"Check sale amounts","OK")))</x:f>
      </x:c>
      <x:c r="K369" s="35" t="str">
        <x:f>IF(J369="","",IF(J369&lt;&gt;"OK","Fix row",IF(C369="Sale",E369*F369-G369,0)))</x:f>
      </x:c>
      <x:c r="L369" s="35" t="str">
        <x:f>IF(J369="","",IF(J369&lt;&gt;"OK","Fix row",IF(C369="Sale",K369-E369*H369,0)))</x:f>
      </x:c>
    </x:row>
    <x:row r="370" ht="27" customHeight="1">
      <x:c r="A370" s="40"/>
      <x:c r="B370" s="41"/>
      <x:c r="C370" s="41"/>
      <x:c r="D370" s="41"/>
      <x:c r="E370" s="41"/>
      <x:c r="F370" s="42"/>
      <x:c r="G370" s="42"/>
      <x:c r="H370" s="42"/>
      <x:c r="I370" s="41"/>
      <x:c r="J370" s="37" t="str">
        <x:f>IF(COUNTA(A370:I370)=0,"",IF(OR(NOT(ISNUMBER(A370)),B370="",AND(C370&lt;&gt;"Sale",C370&lt;&gt;"Purchase",C370&lt;&gt;"Adjustment"),COUNTIFS(Products!$A$6:$A$105,D370)&lt;&gt;1,NOT(ISNUMBER(E370)),E370=0,AND(C370&lt;&gt;"Adjustment",E370&lt;0)),"Check inputs",IF(AND(C370="Sale",OR(NOT(ISNUMBER(F370)),NOT(ISNUMBER(G370)),NOT(ISNUMBER(H370)),F370&lt;0,G370&lt;0,H370&lt;0,G370&gt;E370*F370)),"Check sale amounts","OK")))</x:f>
      </x:c>
      <x:c r="K370" s="38" t="str">
        <x:f>IF(J370="","",IF(J370&lt;&gt;"OK","Fix row",IF(C370="Sale",E370*F370-G370,0)))</x:f>
      </x:c>
      <x:c r="L370" s="38" t="str">
        <x:f>IF(J370="","",IF(J370&lt;&gt;"OK","Fix row",IF(C370="Sale",K370-E370*H370,0)))</x:f>
      </x:c>
    </x:row>
    <x:row r="371" ht="27" customHeight="1">
      <x:c r="A371" s="40"/>
      <x:c r="B371" s="41"/>
      <x:c r="C371" s="41"/>
      <x:c r="D371" s="41"/>
      <x:c r="E371" s="41"/>
      <x:c r="F371" s="42"/>
      <x:c r="G371" s="42"/>
      <x:c r="H371" s="42"/>
      <x:c r="I371" s="41"/>
      <x:c r="J371" s="34" t="str">
        <x:f>IF(COUNTA(A371:I371)=0,"",IF(OR(NOT(ISNUMBER(A371)),B371="",AND(C371&lt;&gt;"Sale",C371&lt;&gt;"Purchase",C371&lt;&gt;"Adjustment"),COUNTIFS(Products!$A$6:$A$105,D371)&lt;&gt;1,NOT(ISNUMBER(E371)),E371=0,AND(C371&lt;&gt;"Adjustment",E371&lt;0)),"Check inputs",IF(AND(C371="Sale",OR(NOT(ISNUMBER(F371)),NOT(ISNUMBER(G371)),NOT(ISNUMBER(H371)),F371&lt;0,G371&lt;0,H371&lt;0,G371&gt;E371*F371)),"Check sale amounts","OK")))</x:f>
      </x:c>
      <x:c r="K371" s="35" t="str">
        <x:f>IF(J371="","",IF(J371&lt;&gt;"OK","Fix row",IF(C371="Sale",E371*F371-G371,0)))</x:f>
      </x:c>
      <x:c r="L371" s="35" t="str">
        <x:f>IF(J371="","",IF(J371&lt;&gt;"OK","Fix row",IF(C371="Sale",K371-E371*H371,0)))</x:f>
      </x:c>
    </x:row>
    <x:row r="372" ht="27" customHeight="1">
      <x:c r="A372" s="40"/>
      <x:c r="B372" s="41"/>
      <x:c r="C372" s="41"/>
      <x:c r="D372" s="41"/>
      <x:c r="E372" s="41"/>
      <x:c r="F372" s="42"/>
      <x:c r="G372" s="42"/>
      <x:c r="H372" s="42"/>
      <x:c r="I372" s="41"/>
      <x:c r="J372" s="37" t="str">
        <x:f>IF(COUNTA(A372:I372)=0,"",IF(OR(NOT(ISNUMBER(A372)),B372="",AND(C372&lt;&gt;"Sale",C372&lt;&gt;"Purchase",C372&lt;&gt;"Adjustment"),COUNTIFS(Products!$A$6:$A$105,D372)&lt;&gt;1,NOT(ISNUMBER(E372)),E372=0,AND(C372&lt;&gt;"Adjustment",E372&lt;0)),"Check inputs",IF(AND(C372="Sale",OR(NOT(ISNUMBER(F372)),NOT(ISNUMBER(G372)),NOT(ISNUMBER(H372)),F372&lt;0,G372&lt;0,H372&lt;0,G372&gt;E372*F372)),"Check sale amounts","OK")))</x:f>
      </x:c>
      <x:c r="K372" s="38" t="str">
        <x:f>IF(J372="","",IF(J372&lt;&gt;"OK","Fix row",IF(C372="Sale",E372*F372-G372,0)))</x:f>
      </x:c>
      <x:c r="L372" s="38" t="str">
        <x:f>IF(J372="","",IF(J372&lt;&gt;"OK","Fix row",IF(C372="Sale",K372-E372*H372,0)))</x:f>
      </x:c>
    </x:row>
    <x:row r="373" ht="27" customHeight="1">
      <x:c r="A373" s="40"/>
      <x:c r="B373" s="41"/>
      <x:c r="C373" s="41"/>
      <x:c r="D373" s="41"/>
      <x:c r="E373" s="41"/>
      <x:c r="F373" s="42"/>
      <x:c r="G373" s="42"/>
      <x:c r="H373" s="42"/>
      <x:c r="I373" s="41"/>
      <x:c r="J373" s="34" t="str">
        <x:f>IF(COUNTA(A373:I373)=0,"",IF(OR(NOT(ISNUMBER(A373)),B373="",AND(C373&lt;&gt;"Sale",C373&lt;&gt;"Purchase",C373&lt;&gt;"Adjustment"),COUNTIFS(Products!$A$6:$A$105,D373)&lt;&gt;1,NOT(ISNUMBER(E373)),E373=0,AND(C373&lt;&gt;"Adjustment",E373&lt;0)),"Check inputs",IF(AND(C373="Sale",OR(NOT(ISNUMBER(F373)),NOT(ISNUMBER(G373)),NOT(ISNUMBER(H373)),F373&lt;0,G373&lt;0,H373&lt;0,G373&gt;E373*F373)),"Check sale amounts","OK")))</x:f>
      </x:c>
      <x:c r="K373" s="35" t="str">
        <x:f>IF(J373="","",IF(J373&lt;&gt;"OK","Fix row",IF(C373="Sale",E373*F373-G373,0)))</x:f>
      </x:c>
      <x:c r="L373" s="35" t="str">
        <x:f>IF(J373="","",IF(J373&lt;&gt;"OK","Fix row",IF(C373="Sale",K373-E373*H373,0)))</x:f>
      </x:c>
    </x:row>
    <x:row r="374" ht="27" customHeight="1">
      <x:c r="A374" s="40"/>
      <x:c r="B374" s="41"/>
      <x:c r="C374" s="41"/>
      <x:c r="D374" s="41"/>
      <x:c r="E374" s="41"/>
      <x:c r="F374" s="42"/>
      <x:c r="G374" s="42"/>
      <x:c r="H374" s="42"/>
      <x:c r="I374" s="41"/>
      <x:c r="J374" s="37" t="str">
        <x:f>IF(COUNTA(A374:I374)=0,"",IF(OR(NOT(ISNUMBER(A374)),B374="",AND(C374&lt;&gt;"Sale",C374&lt;&gt;"Purchase",C374&lt;&gt;"Adjustment"),COUNTIFS(Products!$A$6:$A$105,D374)&lt;&gt;1,NOT(ISNUMBER(E374)),E374=0,AND(C374&lt;&gt;"Adjustment",E374&lt;0)),"Check inputs",IF(AND(C374="Sale",OR(NOT(ISNUMBER(F374)),NOT(ISNUMBER(G374)),NOT(ISNUMBER(H374)),F374&lt;0,G374&lt;0,H374&lt;0,G374&gt;E374*F374)),"Check sale amounts","OK")))</x:f>
      </x:c>
      <x:c r="K374" s="38" t="str">
        <x:f>IF(J374="","",IF(J374&lt;&gt;"OK","Fix row",IF(C374="Sale",E374*F374-G374,0)))</x:f>
      </x:c>
      <x:c r="L374" s="38" t="str">
        <x:f>IF(J374="","",IF(J374&lt;&gt;"OK","Fix row",IF(C374="Sale",K374-E374*H374,0)))</x:f>
      </x:c>
    </x:row>
    <x:row r="375" ht="27" customHeight="1">
      <x:c r="A375" s="40"/>
      <x:c r="B375" s="41"/>
      <x:c r="C375" s="41"/>
      <x:c r="D375" s="41"/>
      <x:c r="E375" s="41"/>
      <x:c r="F375" s="42"/>
      <x:c r="G375" s="42"/>
      <x:c r="H375" s="42"/>
      <x:c r="I375" s="41"/>
      <x:c r="J375" s="34" t="str">
        <x:f>IF(COUNTA(A375:I375)=0,"",IF(OR(NOT(ISNUMBER(A375)),B375="",AND(C375&lt;&gt;"Sale",C375&lt;&gt;"Purchase",C375&lt;&gt;"Adjustment"),COUNTIFS(Products!$A$6:$A$105,D375)&lt;&gt;1,NOT(ISNUMBER(E375)),E375=0,AND(C375&lt;&gt;"Adjustment",E375&lt;0)),"Check inputs",IF(AND(C375="Sale",OR(NOT(ISNUMBER(F375)),NOT(ISNUMBER(G375)),NOT(ISNUMBER(H375)),F375&lt;0,G375&lt;0,H375&lt;0,G375&gt;E375*F375)),"Check sale amounts","OK")))</x:f>
      </x:c>
      <x:c r="K375" s="35" t="str">
        <x:f>IF(J375="","",IF(J375&lt;&gt;"OK","Fix row",IF(C375="Sale",E375*F375-G375,0)))</x:f>
      </x:c>
      <x:c r="L375" s="35" t="str">
        <x:f>IF(J375="","",IF(J375&lt;&gt;"OK","Fix row",IF(C375="Sale",K375-E375*H375,0)))</x:f>
      </x:c>
    </x:row>
    <x:row r="376" ht="27" customHeight="1">
      <x:c r="A376" s="40"/>
      <x:c r="B376" s="41"/>
      <x:c r="C376" s="41"/>
      <x:c r="D376" s="41"/>
      <x:c r="E376" s="41"/>
      <x:c r="F376" s="42"/>
      <x:c r="G376" s="42"/>
      <x:c r="H376" s="42"/>
      <x:c r="I376" s="41"/>
      <x:c r="J376" s="37" t="str">
        <x:f>IF(COUNTA(A376:I376)=0,"",IF(OR(NOT(ISNUMBER(A376)),B376="",AND(C376&lt;&gt;"Sale",C376&lt;&gt;"Purchase",C376&lt;&gt;"Adjustment"),COUNTIFS(Products!$A$6:$A$105,D376)&lt;&gt;1,NOT(ISNUMBER(E376)),E376=0,AND(C376&lt;&gt;"Adjustment",E376&lt;0)),"Check inputs",IF(AND(C376="Sale",OR(NOT(ISNUMBER(F376)),NOT(ISNUMBER(G376)),NOT(ISNUMBER(H376)),F376&lt;0,G376&lt;0,H376&lt;0,G376&gt;E376*F376)),"Check sale amounts","OK")))</x:f>
      </x:c>
      <x:c r="K376" s="38" t="str">
        <x:f>IF(J376="","",IF(J376&lt;&gt;"OK","Fix row",IF(C376="Sale",E376*F376-G376,0)))</x:f>
      </x:c>
      <x:c r="L376" s="38" t="str">
        <x:f>IF(J376="","",IF(J376&lt;&gt;"OK","Fix row",IF(C376="Sale",K376-E376*H376,0)))</x:f>
      </x:c>
    </x:row>
    <x:row r="377" ht="27" customHeight="1">
      <x:c r="A377" s="40"/>
      <x:c r="B377" s="41"/>
      <x:c r="C377" s="41"/>
      <x:c r="D377" s="41"/>
      <x:c r="E377" s="41"/>
      <x:c r="F377" s="42"/>
      <x:c r="G377" s="42"/>
      <x:c r="H377" s="42"/>
      <x:c r="I377" s="41"/>
      <x:c r="J377" s="34" t="str">
        <x:f>IF(COUNTA(A377:I377)=0,"",IF(OR(NOT(ISNUMBER(A377)),B377="",AND(C377&lt;&gt;"Sale",C377&lt;&gt;"Purchase",C377&lt;&gt;"Adjustment"),COUNTIFS(Products!$A$6:$A$105,D377)&lt;&gt;1,NOT(ISNUMBER(E377)),E377=0,AND(C377&lt;&gt;"Adjustment",E377&lt;0)),"Check inputs",IF(AND(C377="Sale",OR(NOT(ISNUMBER(F377)),NOT(ISNUMBER(G377)),NOT(ISNUMBER(H377)),F377&lt;0,G377&lt;0,H377&lt;0,G377&gt;E377*F377)),"Check sale amounts","OK")))</x:f>
      </x:c>
      <x:c r="K377" s="35" t="str">
        <x:f>IF(J377="","",IF(J377&lt;&gt;"OK","Fix row",IF(C377="Sale",E377*F377-G377,0)))</x:f>
      </x:c>
      <x:c r="L377" s="35" t="str">
        <x:f>IF(J377="","",IF(J377&lt;&gt;"OK","Fix row",IF(C377="Sale",K377-E377*H377,0)))</x:f>
      </x:c>
    </x:row>
    <x:row r="378" ht="27" customHeight="1">
      <x:c r="A378" s="40"/>
      <x:c r="B378" s="41"/>
      <x:c r="C378" s="41"/>
      <x:c r="D378" s="41"/>
      <x:c r="E378" s="41"/>
      <x:c r="F378" s="42"/>
      <x:c r="G378" s="42"/>
      <x:c r="H378" s="42"/>
      <x:c r="I378" s="41"/>
      <x:c r="J378" s="37" t="str">
        <x:f>IF(COUNTA(A378:I378)=0,"",IF(OR(NOT(ISNUMBER(A378)),B378="",AND(C378&lt;&gt;"Sale",C378&lt;&gt;"Purchase",C378&lt;&gt;"Adjustment"),COUNTIFS(Products!$A$6:$A$105,D378)&lt;&gt;1,NOT(ISNUMBER(E378)),E378=0,AND(C378&lt;&gt;"Adjustment",E378&lt;0)),"Check inputs",IF(AND(C378="Sale",OR(NOT(ISNUMBER(F378)),NOT(ISNUMBER(G378)),NOT(ISNUMBER(H378)),F378&lt;0,G378&lt;0,H378&lt;0,G378&gt;E378*F378)),"Check sale amounts","OK")))</x:f>
      </x:c>
      <x:c r="K378" s="38" t="str">
        <x:f>IF(J378="","",IF(J378&lt;&gt;"OK","Fix row",IF(C378="Sale",E378*F378-G378,0)))</x:f>
      </x:c>
      <x:c r="L378" s="38" t="str">
        <x:f>IF(J378="","",IF(J378&lt;&gt;"OK","Fix row",IF(C378="Sale",K378-E378*H378,0)))</x:f>
      </x:c>
    </x:row>
    <x:row r="379" ht="27" customHeight="1">
      <x:c r="A379" s="40"/>
      <x:c r="B379" s="41"/>
      <x:c r="C379" s="41"/>
      <x:c r="D379" s="41"/>
      <x:c r="E379" s="41"/>
      <x:c r="F379" s="42"/>
      <x:c r="G379" s="42"/>
      <x:c r="H379" s="42"/>
      <x:c r="I379" s="41"/>
      <x:c r="J379" s="34" t="str">
        <x:f>IF(COUNTA(A379:I379)=0,"",IF(OR(NOT(ISNUMBER(A379)),B379="",AND(C379&lt;&gt;"Sale",C379&lt;&gt;"Purchase",C379&lt;&gt;"Adjustment"),COUNTIFS(Products!$A$6:$A$105,D379)&lt;&gt;1,NOT(ISNUMBER(E379)),E379=0,AND(C379&lt;&gt;"Adjustment",E379&lt;0)),"Check inputs",IF(AND(C379="Sale",OR(NOT(ISNUMBER(F379)),NOT(ISNUMBER(G379)),NOT(ISNUMBER(H379)),F379&lt;0,G379&lt;0,H379&lt;0,G379&gt;E379*F379)),"Check sale amounts","OK")))</x:f>
      </x:c>
      <x:c r="K379" s="35" t="str">
        <x:f>IF(J379="","",IF(J379&lt;&gt;"OK","Fix row",IF(C379="Sale",E379*F379-G379,0)))</x:f>
      </x:c>
      <x:c r="L379" s="35" t="str">
        <x:f>IF(J379="","",IF(J379&lt;&gt;"OK","Fix row",IF(C379="Sale",K379-E379*H379,0)))</x:f>
      </x:c>
    </x:row>
    <x:row r="380" ht="27" customHeight="1">
      <x:c r="A380" s="40"/>
      <x:c r="B380" s="41"/>
      <x:c r="C380" s="41"/>
      <x:c r="D380" s="41"/>
      <x:c r="E380" s="41"/>
      <x:c r="F380" s="42"/>
      <x:c r="G380" s="42"/>
      <x:c r="H380" s="42"/>
      <x:c r="I380" s="41"/>
      <x:c r="J380" s="37" t="str">
        <x:f>IF(COUNTA(A380:I380)=0,"",IF(OR(NOT(ISNUMBER(A380)),B380="",AND(C380&lt;&gt;"Sale",C380&lt;&gt;"Purchase",C380&lt;&gt;"Adjustment"),COUNTIFS(Products!$A$6:$A$105,D380)&lt;&gt;1,NOT(ISNUMBER(E380)),E380=0,AND(C380&lt;&gt;"Adjustment",E380&lt;0)),"Check inputs",IF(AND(C380="Sale",OR(NOT(ISNUMBER(F380)),NOT(ISNUMBER(G380)),NOT(ISNUMBER(H380)),F380&lt;0,G380&lt;0,H380&lt;0,G380&gt;E380*F380)),"Check sale amounts","OK")))</x:f>
      </x:c>
      <x:c r="K380" s="38" t="str">
        <x:f>IF(J380="","",IF(J380&lt;&gt;"OK","Fix row",IF(C380="Sale",E380*F380-G380,0)))</x:f>
      </x:c>
      <x:c r="L380" s="38" t="str">
        <x:f>IF(J380="","",IF(J380&lt;&gt;"OK","Fix row",IF(C380="Sale",K380-E380*H380,0)))</x:f>
      </x:c>
    </x:row>
    <x:row r="381" ht="27" customHeight="1">
      <x:c r="A381" s="40"/>
      <x:c r="B381" s="41"/>
      <x:c r="C381" s="41"/>
      <x:c r="D381" s="41"/>
      <x:c r="E381" s="41"/>
      <x:c r="F381" s="42"/>
      <x:c r="G381" s="42"/>
      <x:c r="H381" s="42"/>
      <x:c r="I381" s="41"/>
      <x:c r="J381" s="34" t="str">
        <x:f>IF(COUNTA(A381:I381)=0,"",IF(OR(NOT(ISNUMBER(A381)),B381="",AND(C381&lt;&gt;"Sale",C381&lt;&gt;"Purchase",C381&lt;&gt;"Adjustment"),COUNTIFS(Products!$A$6:$A$105,D381)&lt;&gt;1,NOT(ISNUMBER(E381)),E381=0,AND(C381&lt;&gt;"Adjustment",E381&lt;0)),"Check inputs",IF(AND(C381="Sale",OR(NOT(ISNUMBER(F381)),NOT(ISNUMBER(G381)),NOT(ISNUMBER(H381)),F381&lt;0,G381&lt;0,H381&lt;0,G381&gt;E381*F381)),"Check sale amounts","OK")))</x:f>
      </x:c>
      <x:c r="K381" s="35" t="str">
        <x:f>IF(J381="","",IF(J381&lt;&gt;"OK","Fix row",IF(C381="Sale",E381*F381-G381,0)))</x:f>
      </x:c>
      <x:c r="L381" s="35" t="str">
        <x:f>IF(J381="","",IF(J381&lt;&gt;"OK","Fix row",IF(C381="Sale",K381-E381*H381,0)))</x:f>
      </x:c>
    </x:row>
    <x:row r="382" ht="27" customHeight="1">
      <x:c r="A382" s="40"/>
      <x:c r="B382" s="41"/>
      <x:c r="C382" s="41"/>
      <x:c r="D382" s="41"/>
      <x:c r="E382" s="41"/>
      <x:c r="F382" s="42"/>
      <x:c r="G382" s="42"/>
      <x:c r="H382" s="42"/>
      <x:c r="I382" s="41"/>
      <x:c r="J382" s="37" t="str">
        <x:f>IF(COUNTA(A382:I382)=0,"",IF(OR(NOT(ISNUMBER(A382)),B382="",AND(C382&lt;&gt;"Sale",C382&lt;&gt;"Purchase",C382&lt;&gt;"Adjustment"),COUNTIFS(Products!$A$6:$A$105,D382)&lt;&gt;1,NOT(ISNUMBER(E382)),E382=0,AND(C382&lt;&gt;"Adjustment",E382&lt;0)),"Check inputs",IF(AND(C382="Sale",OR(NOT(ISNUMBER(F382)),NOT(ISNUMBER(G382)),NOT(ISNUMBER(H382)),F382&lt;0,G382&lt;0,H382&lt;0,G382&gt;E382*F382)),"Check sale amounts","OK")))</x:f>
      </x:c>
      <x:c r="K382" s="38" t="str">
        <x:f>IF(J382="","",IF(J382&lt;&gt;"OK","Fix row",IF(C382="Sale",E382*F382-G382,0)))</x:f>
      </x:c>
      <x:c r="L382" s="38" t="str">
        <x:f>IF(J382="","",IF(J382&lt;&gt;"OK","Fix row",IF(C382="Sale",K382-E382*H382,0)))</x:f>
      </x:c>
    </x:row>
    <x:row r="383" ht="27" customHeight="1">
      <x:c r="A383" s="40"/>
      <x:c r="B383" s="41"/>
      <x:c r="C383" s="41"/>
      <x:c r="D383" s="41"/>
      <x:c r="E383" s="41"/>
      <x:c r="F383" s="42"/>
      <x:c r="G383" s="42"/>
      <x:c r="H383" s="42"/>
      <x:c r="I383" s="41"/>
      <x:c r="J383" s="34" t="str">
        <x:f>IF(COUNTA(A383:I383)=0,"",IF(OR(NOT(ISNUMBER(A383)),B383="",AND(C383&lt;&gt;"Sale",C383&lt;&gt;"Purchase",C383&lt;&gt;"Adjustment"),COUNTIFS(Products!$A$6:$A$105,D383)&lt;&gt;1,NOT(ISNUMBER(E383)),E383=0,AND(C383&lt;&gt;"Adjustment",E383&lt;0)),"Check inputs",IF(AND(C383="Sale",OR(NOT(ISNUMBER(F383)),NOT(ISNUMBER(G383)),NOT(ISNUMBER(H383)),F383&lt;0,G383&lt;0,H383&lt;0,G383&gt;E383*F383)),"Check sale amounts","OK")))</x:f>
      </x:c>
      <x:c r="K383" s="35" t="str">
        <x:f>IF(J383="","",IF(J383&lt;&gt;"OK","Fix row",IF(C383="Sale",E383*F383-G383,0)))</x:f>
      </x:c>
      <x:c r="L383" s="35" t="str">
        <x:f>IF(J383="","",IF(J383&lt;&gt;"OK","Fix row",IF(C383="Sale",K383-E383*H383,0)))</x:f>
      </x:c>
    </x:row>
    <x:row r="384" ht="27" customHeight="1">
      <x:c r="A384" s="40"/>
      <x:c r="B384" s="41"/>
      <x:c r="C384" s="41"/>
      <x:c r="D384" s="41"/>
      <x:c r="E384" s="41"/>
      <x:c r="F384" s="42"/>
      <x:c r="G384" s="42"/>
      <x:c r="H384" s="42"/>
      <x:c r="I384" s="41"/>
      <x:c r="J384" s="37" t="str">
        <x:f>IF(COUNTA(A384:I384)=0,"",IF(OR(NOT(ISNUMBER(A384)),B384="",AND(C384&lt;&gt;"Sale",C384&lt;&gt;"Purchase",C384&lt;&gt;"Adjustment"),COUNTIFS(Products!$A$6:$A$105,D384)&lt;&gt;1,NOT(ISNUMBER(E384)),E384=0,AND(C384&lt;&gt;"Adjustment",E384&lt;0)),"Check inputs",IF(AND(C384="Sale",OR(NOT(ISNUMBER(F384)),NOT(ISNUMBER(G384)),NOT(ISNUMBER(H384)),F384&lt;0,G384&lt;0,H384&lt;0,G384&gt;E384*F384)),"Check sale amounts","OK")))</x:f>
      </x:c>
      <x:c r="K384" s="38" t="str">
        <x:f>IF(J384="","",IF(J384&lt;&gt;"OK","Fix row",IF(C384="Sale",E384*F384-G384,0)))</x:f>
      </x:c>
      <x:c r="L384" s="38" t="str">
        <x:f>IF(J384="","",IF(J384&lt;&gt;"OK","Fix row",IF(C384="Sale",K384-E384*H384,0)))</x:f>
      </x:c>
    </x:row>
    <x:row r="385" ht="27" customHeight="1">
      <x:c r="A385" s="40"/>
      <x:c r="B385" s="41"/>
      <x:c r="C385" s="41"/>
      <x:c r="D385" s="41"/>
      <x:c r="E385" s="41"/>
      <x:c r="F385" s="42"/>
      <x:c r="G385" s="42"/>
      <x:c r="H385" s="42"/>
      <x:c r="I385" s="41"/>
      <x:c r="J385" s="34" t="str">
        <x:f>IF(COUNTA(A385:I385)=0,"",IF(OR(NOT(ISNUMBER(A385)),B385="",AND(C385&lt;&gt;"Sale",C385&lt;&gt;"Purchase",C385&lt;&gt;"Adjustment"),COUNTIFS(Products!$A$6:$A$105,D385)&lt;&gt;1,NOT(ISNUMBER(E385)),E385=0,AND(C385&lt;&gt;"Adjustment",E385&lt;0)),"Check inputs",IF(AND(C385="Sale",OR(NOT(ISNUMBER(F385)),NOT(ISNUMBER(G385)),NOT(ISNUMBER(H385)),F385&lt;0,G385&lt;0,H385&lt;0,G385&gt;E385*F385)),"Check sale amounts","OK")))</x:f>
      </x:c>
      <x:c r="K385" s="35" t="str">
        <x:f>IF(J385="","",IF(J385&lt;&gt;"OK","Fix row",IF(C385="Sale",E385*F385-G385,0)))</x:f>
      </x:c>
      <x:c r="L385" s="35" t="str">
        <x:f>IF(J385="","",IF(J385&lt;&gt;"OK","Fix row",IF(C385="Sale",K385-E385*H385,0)))</x:f>
      </x:c>
    </x:row>
    <x:row r="386" ht="27" customHeight="1">
      <x:c r="A386" s="40"/>
      <x:c r="B386" s="41"/>
      <x:c r="C386" s="41"/>
      <x:c r="D386" s="41"/>
      <x:c r="E386" s="41"/>
      <x:c r="F386" s="42"/>
      <x:c r="G386" s="42"/>
      <x:c r="H386" s="42"/>
      <x:c r="I386" s="41"/>
      <x:c r="J386" s="37" t="str">
        <x:f>IF(COUNTA(A386:I386)=0,"",IF(OR(NOT(ISNUMBER(A386)),B386="",AND(C386&lt;&gt;"Sale",C386&lt;&gt;"Purchase",C386&lt;&gt;"Adjustment"),COUNTIFS(Products!$A$6:$A$105,D386)&lt;&gt;1,NOT(ISNUMBER(E386)),E386=0,AND(C386&lt;&gt;"Adjustment",E386&lt;0)),"Check inputs",IF(AND(C386="Sale",OR(NOT(ISNUMBER(F386)),NOT(ISNUMBER(G386)),NOT(ISNUMBER(H386)),F386&lt;0,G386&lt;0,H386&lt;0,G386&gt;E386*F386)),"Check sale amounts","OK")))</x:f>
      </x:c>
      <x:c r="K386" s="38" t="str">
        <x:f>IF(J386="","",IF(J386&lt;&gt;"OK","Fix row",IF(C386="Sale",E386*F386-G386,0)))</x:f>
      </x:c>
      <x:c r="L386" s="38" t="str">
        <x:f>IF(J386="","",IF(J386&lt;&gt;"OK","Fix row",IF(C386="Sale",K386-E386*H386,0)))</x:f>
      </x:c>
    </x:row>
    <x:row r="387" ht="27" customHeight="1">
      <x:c r="A387" s="40"/>
      <x:c r="B387" s="41"/>
      <x:c r="C387" s="41"/>
      <x:c r="D387" s="41"/>
      <x:c r="E387" s="41"/>
      <x:c r="F387" s="42"/>
      <x:c r="G387" s="42"/>
      <x:c r="H387" s="42"/>
      <x:c r="I387" s="41"/>
      <x:c r="J387" s="34" t="str">
        <x:f>IF(COUNTA(A387:I387)=0,"",IF(OR(NOT(ISNUMBER(A387)),B387="",AND(C387&lt;&gt;"Sale",C387&lt;&gt;"Purchase",C387&lt;&gt;"Adjustment"),COUNTIFS(Products!$A$6:$A$105,D387)&lt;&gt;1,NOT(ISNUMBER(E387)),E387=0,AND(C387&lt;&gt;"Adjustment",E387&lt;0)),"Check inputs",IF(AND(C387="Sale",OR(NOT(ISNUMBER(F387)),NOT(ISNUMBER(G387)),NOT(ISNUMBER(H387)),F387&lt;0,G387&lt;0,H387&lt;0,G387&gt;E387*F387)),"Check sale amounts","OK")))</x:f>
      </x:c>
      <x:c r="K387" s="35" t="str">
        <x:f>IF(J387="","",IF(J387&lt;&gt;"OK","Fix row",IF(C387="Sale",E387*F387-G387,0)))</x:f>
      </x:c>
      <x:c r="L387" s="35" t="str">
        <x:f>IF(J387="","",IF(J387&lt;&gt;"OK","Fix row",IF(C387="Sale",K387-E387*H387,0)))</x:f>
      </x:c>
    </x:row>
    <x:row r="388" ht="27" customHeight="1">
      <x:c r="A388" s="40"/>
      <x:c r="B388" s="41"/>
      <x:c r="C388" s="41"/>
      <x:c r="D388" s="41"/>
      <x:c r="E388" s="41"/>
      <x:c r="F388" s="42"/>
      <x:c r="G388" s="42"/>
      <x:c r="H388" s="42"/>
      <x:c r="I388" s="41"/>
      <x:c r="J388" s="37" t="str">
        <x:f>IF(COUNTA(A388:I388)=0,"",IF(OR(NOT(ISNUMBER(A388)),B388="",AND(C388&lt;&gt;"Sale",C388&lt;&gt;"Purchase",C388&lt;&gt;"Adjustment"),COUNTIFS(Products!$A$6:$A$105,D388)&lt;&gt;1,NOT(ISNUMBER(E388)),E388=0,AND(C388&lt;&gt;"Adjustment",E388&lt;0)),"Check inputs",IF(AND(C388="Sale",OR(NOT(ISNUMBER(F388)),NOT(ISNUMBER(G388)),NOT(ISNUMBER(H388)),F388&lt;0,G388&lt;0,H388&lt;0,G388&gt;E388*F388)),"Check sale amounts","OK")))</x:f>
      </x:c>
      <x:c r="K388" s="38" t="str">
        <x:f>IF(J388="","",IF(J388&lt;&gt;"OK","Fix row",IF(C388="Sale",E388*F388-G388,0)))</x:f>
      </x:c>
      <x:c r="L388" s="38" t="str">
        <x:f>IF(J388="","",IF(J388&lt;&gt;"OK","Fix row",IF(C388="Sale",K388-E388*H388,0)))</x:f>
      </x:c>
    </x:row>
    <x:row r="389" ht="27" customHeight="1">
      <x:c r="A389" s="40"/>
      <x:c r="B389" s="41"/>
      <x:c r="C389" s="41"/>
      <x:c r="D389" s="41"/>
      <x:c r="E389" s="41"/>
      <x:c r="F389" s="42"/>
      <x:c r="G389" s="42"/>
      <x:c r="H389" s="42"/>
      <x:c r="I389" s="41"/>
      <x:c r="J389" s="34" t="str">
        <x:f>IF(COUNTA(A389:I389)=0,"",IF(OR(NOT(ISNUMBER(A389)),B389="",AND(C389&lt;&gt;"Sale",C389&lt;&gt;"Purchase",C389&lt;&gt;"Adjustment"),COUNTIFS(Products!$A$6:$A$105,D389)&lt;&gt;1,NOT(ISNUMBER(E389)),E389=0,AND(C389&lt;&gt;"Adjustment",E389&lt;0)),"Check inputs",IF(AND(C389="Sale",OR(NOT(ISNUMBER(F389)),NOT(ISNUMBER(G389)),NOT(ISNUMBER(H389)),F389&lt;0,G389&lt;0,H389&lt;0,G389&gt;E389*F389)),"Check sale amounts","OK")))</x:f>
      </x:c>
      <x:c r="K389" s="35" t="str">
        <x:f>IF(J389="","",IF(J389&lt;&gt;"OK","Fix row",IF(C389="Sale",E389*F389-G389,0)))</x:f>
      </x:c>
      <x:c r="L389" s="35" t="str">
        <x:f>IF(J389="","",IF(J389&lt;&gt;"OK","Fix row",IF(C389="Sale",K389-E389*H389,0)))</x:f>
      </x:c>
    </x:row>
    <x:row r="390" ht="27" customHeight="1">
      <x:c r="A390" s="40"/>
      <x:c r="B390" s="41"/>
      <x:c r="C390" s="41"/>
      <x:c r="D390" s="41"/>
      <x:c r="E390" s="41"/>
      <x:c r="F390" s="42"/>
      <x:c r="G390" s="42"/>
      <x:c r="H390" s="42"/>
      <x:c r="I390" s="41"/>
      <x:c r="J390" s="37" t="str">
        <x:f>IF(COUNTA(A390:I390)=0,"",IF(OR(NOT(ISNUMBER(A390)),B390="",AND(C390&lt;&gt;"Sale",C390&lt;&gt;"Purchase",C390&lt;&gt;"Adjustment"),COUNTIFS(Products!$A$6:$A$105,D390)&lt;&gt;1,NOT(ISNUMBER(E390)),E390=0,AND(C390&lt;&gt;"Adjustment",E390&lt;0)),"Check inputs",IF(AND(C390="Sale",OR(NOT(ISNUMBER(F390)),NOT(ISNUMBER(G390)),NOT(ISNUMBER(H390)),F390&lt;0,G390&lt;0,H390&lt;0,G390&gt;E390*F390)),"Check sale amounts","OK")))</x:f>
      </x:c>
      <x:c r="K390" s="38" t="str">
        <x:f>IF(J390="","",IF(J390&lt;&gt;"OK","Fix row",IF(C390="Sale",E390*F390-G390,0)))</x:f>
      </x:c>
      <x:c r="L390" s="38" t="str">
        <x:f>IF(J390="","",IF(J390&lt;&gt;"OK","Fix row",IF(C390="Sale",K390-E390*H390,0)))</x:f>
      </x:c>
    </x:row>
    <x:row r="391" ht="27" customHeight="1">
      <x:c r="A391" s="40"/>
      <x:c r="B391" s="41"/>
      <x:c r="C391" s="41"/>
      <x:c r="D391" s="41"/>
      <x:c r="E391" s="41"/>
      <x:c r="F391" s="42"/>
      <x:c r="G391" s="42"/>
      <x:c r="H391" s="42"/>
      <x:c r="I391" s="41"/>
      <x:c r="J391" s="34" t="str">
        <x:f>IF(COUNTA(A391:I391)=0,"",IF(OR(NOT(ISNUMBER(A391)),B391="",AND(C391&lt;&gt;"Sale",C391&lt;&gt;"Purchase",C391&lt;&gt;"Adjustment"),COUNTIFS(Products!$A$6:$A$105,D391)&lt;&gt;1,NOT(ISNUMBER(E391)),E391=0,AND(C391&lt;&gt;"Adjustment",E391&lt;0)),"Check inputs",IF(AND(C391="Sale",OR(NOT(ISNUMBER(F391)),NOT(ISNUMBER(G391)),NOT(ISNUMBER(H391)),F391&lt;0,G391&lt;0,H391&lt;0,G391&gt;E391*F391)),"Check sale amounts","OK")))</x:f>
      </x:c>
      <x:c r="K391" s="35" t="str">
        <x:f>IF(J391="","",IF(J391&lt;&gt;"OK","Fix row",IF(C391="Sale",E391*F391-G391,0)))</x:f>
      </x:c>
      <x:c r="L391" s="35" t="str">
        <x:f>IF(J391="","",IF(J391&lt;&gt;"OK","Fix row",IF(C391="Sale",K391-E391*H391,0)))</x:f>
      </x:c>
    </x:row>
    <x:row r="392" ht="27" customHeight="1">
      <x:c r="A392" s="40"/>
      <x:c r="B392" s="41"/>
      <x:c r="C392" s="41"/>
      <x:c r="D392" s="41"/>
      <x:c r="E392" s="41"/>
      <x:c r="F392" s="42"/>
      <x:c r="G392" s="42"/>
      <x:c r="H392" s="42"/>
      <x:c r="I392" s="41"/>
      <x:c r="J392" s="37" t="str">
        <x:f>IF(COUNTA(A392:I392)=0,"",IF(OR(NOT(ISNUMBER(A392)),B392="",AND(C392&lt;&gt;"Sale",C392&lt;&gt;"Purchase",C392&lt;&gt;"Adjustment"),COUNTIFS(Products!$A$6:$A$105,D392)&lt;&gt;1,NOT(ISNUMBER(E392)),E392=0,AND(C392&lt;&gt;"Adjustment",E392&lt;0)),"Check inputs",IF(AND(C392="Sale",OR(NOT(ISNUMBER(F392)),NOT(ISNUMBER(G392)),NOT(ISNUMBER(H392)),F392&lt;0,G392&lt;0,H392&lt;0,G392&gt;E392*F392)),"Check sale amounts","OK")))</x:f>
      </x:c>
      <x:c r="K392" s="38" t="str">
        <x:f>IF(J392="","",IF(J392&lt;&gt;"OK","Fix row",IF(C392="Sale",E392*F392-G392,0)))</x:f>
      </x:c>
      <x:c r="L392" s="38" t="str">
        <x:f>IF(J392="","",IF(J392&lt;&gt;"OK","Fix row",IF(C392="Sale",K392-E392*H392,0)))</x:f>
      </x:c>
    </x:row>
    <x:row r="393" ht="27" customHeight="1">
      <x:c r="A393" s="40"/>
      <x:c r="B393" s="41"/>
      <x:c r="C393" s="41"/>
      <x:c r="D393" s="41"/>
      <x:c r="E393" s="41"/>
      <x:c r="F393" s="42"/>
      <x:c r="G393" s="42"/>
      <x:c r="H393" s="42"/>
      <x:c r="I393" s="41"/>
      <x:c r="J393" s="34" t="str">
        <x:f>IF(COUNTA(A393:I393)=0,"",IF(OR(NOT(ISNUMBER(A393)),B393="",AND(C393&lt;&gt;"Sale",C393&lt;&gt;"Purchase",C393&lt;&gt;"Adjustment"),COUNTIFS(Products!$A$6:$A$105,D393)&lt;&gt;1,NOT(ISNUMBER(E393)),E393=0,AND(C393&lt;&gt;"Adjustment",E393&lt;0)),"Check inputs",IF(AND(C393="Sale",OR(NOT(ISNUMBER(F393)),NOT(ISNUMBER(G393)),NOT(ISNUMBER(H393)),F393&lt;0,G393&lt;0,H393&lt;0,G393&gt;E393*F393)),"Check sale amounts","OK")))</x:f>
      </x:c>
      <x:c r="K393" s="35" t="str">
        <x:f>IF(J393="","",IF(J393&lt;&gt;"OK","Fix row",IF(C393="Sale",E393*F393-G393,0)))</x:f>
      </x:c>
      <x:c r="L393" s="35" t="str">
        <x:f>IF(J393="","",IF(J393&lt;&gt;"OK","Fix row",IF(C393="Sale",K393-E393*H393,0)))</x:f>
      </x:c>
    </x:row>
    <x:row r="394" ht="27" customHeight="1">
      <x:c r="A394" s="40"/>
      <x:c r="B394" s="41"/>
      <x:c r="C394" s="41"/>
      <x:c r="D394" s="41"/>
      <x:c r="E394" s="41"/>
      <x:c r="F394" s="42"/>
      <x:c r="G394" s="42"/>
      <x:c r="H394" s="42"/>
      <x:c r="I394" s="41"/>
      <x:c r="J394" s="37" t="str">
        <x:f>IF(COUNTA(A394:I394)=0,"",IF(OR(NOT(ISNUMBER(A394)),B394="",AND(C394&lt;&gt;"Sale",C394&lt;&gt;"Purchase",C394&lt;&gt;"Adjustment"),COUNTIFS(Products!$A$6:$A$105,D394)&lt;&gt;1,NOT(ISNUMBER(E394)),E394=0,AND(C394&lt;&gt;"Adjustment",E394&lt;0)),"Check inputs",IF(AND(C394="Sale",OR(NOT(ISNUMBER(F394)),NOT(ISNUMBER(G394)),NOT(ISNUMBER(H394)),F394&lt;0,G394&lt;0,H394&lt;0,G394&gt;E394*F394)),"Check sale amounts","OK")))</x:f>
      </x:c>
      <x:c r="K394" s="38" t="str">
        <x:f>IF(J394="","",IF(J394&lt;&gt;"OK","Fix row",IF(C394="Sale",E394*F394-G394,0)))</x:f>
      </x:c>
      <x:c r="L394" s="38" t="str">
        <x:f>IF(J394="","",IF(J394&lt;&gt;"OK","Fix row",IF(C394="Sale",K394-E394*H394,0)))</x:f>
      </x:c>
    </x:row>
    <x:row r="395" ht="27" customHeight="1">
      <x:c r="A395" s="40"/>
      <x:c r="B395" s="41"/>
      <x:c r="C395" s="41"/>
      <x:c r="D395" s="41"/>
      <x:c r="E395" s="41"/>
      <x:c r="F395" s="42"/>
      <x:c r="G395" s="42"/>
      <x:c r="H395" s="42"/>
      <x:c r="I395" s="41"/>
      <x:c r="J395" s="34" t="str">
        <x:f>IF(COUNTA(A395:I395)=0,"",IF(OR(NOT(ISNUMBER(A395)),B395="",AND(C395&lt;&gt;"Sale",C395&lt;&gt;"Purchase",C395&lt;&gt;"Adjustment"),COUNTIFS(Products!$A$6:$A$105,D395)&lt;&gt;1,NOT(ISNUMBER(E395)),E395=0,AND(C395&lt;&gt;"Adjustment",E395&lt;0)),"Check inputs",IF(AND(C395="Sale",OR(NOT(ISNUMBER(F395)),NOT(ISNUMBER(G395)),NOT(ISNUMBER(H395)),F395&lt;0,G395&lt;0,H395&lt;0,G395&gt;E395*F395)),"Check sale amounts","OK")))</x:f>
      </x:c>
      <x:c r="K395" s="35" t="str">
        <x:f>IF(J395="","",IF(J395&lt;&gt;"OK","Fix row",IF(C395="Sale",E395*F395-G395,0)))</x:f>
      </x:c>
      <x:c r="L395" s="35" t="str">
        <x:f>IF(J395="","",IF(J395&lt;&gt;"OK","Fix row",IF(C395="Sale",K395-E395*H395,0)))</x:f>
      </x:c>
    </x:row>
    <x:row r="396" ht="27" customHeight="1">
      <x:c r="A396" s="40"/>
      <x:c r="B396" s="41"/>
      <x:c r="C396" s="41"/>
      <x:c r="D396" s="41"/>
      <x:c r="E396" s="41"/>
      <x:c r="F396" s="42"/>
      <x:c r="G396" s="42"/>
      <x:c r="H396" s="42"/>
      <x:c r="I396" s="41"/>
      <x:c r="J396" s="37" t="str">
        <x:f>IF(COUNTA(A396:I396)=0,"",IF(OR(NOT(ISNUMBER(A396)),B396="",AND(C396&lt;&gt;"Sale",C396&lt;&gt;"Purchase",C396&lt;&gt;"Adjustment"),COUNTIFS(Products!$A$6:$A$105,D396)&lt;&gt;1,NOT(ISNUMBER(E396)),E396=0,AND(C396&lt;&gt;"Adjustment",E396&lt;0)),"Check inputs",IF(AND(C396="Sale",OR(NOT(ISNUMBER(F396)),NOT(ISNUMBER(G396)),NOT(ISNUMBER(H396)),F396&lt;0,G396&lt;0,H396&lt;0,G396&gt;E396*F396)),"Check sale amounts","OK")))</x:f>
      </x:c>
      <x:c r="K396" s="38" t="str">
        <x:f>IF(J396="","",IF(J396&lt;&gt;"OK","Fix row",IF(C396="Sale",E396*F396-G396,0)))</x:f>
      </x:c>
      <x:c r="L396" s="38" t="str">
        <x:f>IF(J396="","",IF(J396&lt;&gt;"OK","Fix row",IF(C396="Sale",K396-E396*H396,0)))</x:f>
      </x:c>
    </x:row>
    <x:row r="397" ht="27" customHeight="1">
      <x:c r="A397" s="40"/>
      <x:c r="B397" s="41"/>
      <x:c r="C397" s="41"/>
      <x:c r="D397" s="41"/>
      <x:c r="E397" s="41"/>
      <x:c r="F397" s="42"/>
      <x:c r="G397" s="42"/>
      <x:c r="H397" s="42"/>
      <x:c r="I397" s="41"/>
      <x:c r="J397" s="34" t="str">
        <x:f>IF(COUNTA(A397:I397)=0,"",IF(OR(NOT(ISNUMBER(A397)),B397="",AND(C397&lt;&gt;"Sale",C397&lt;&gt;"Purchase",C397&lt;&gt;"Adjustment"),COUNTIFS(Products!$A$6:$A$105,D397)&lt;&gt;1,NOT(ISNUMBER(E397)),E397=0,AND(C397&lt;&gt;"Adjustment",E397&lt;0)),"Check inputs",IF(AND(C397="Sale",OR(NOT(ISNUMBER(F397)),NOT(ISNUMBER(G397)),NOT(ISNUMBER(H397)),F397&lt;0,G397&lt;0,H397&lt;0,G397&gt;E397*F397)),"Check sale amounts","OK")))</x:f>
      </x:c>
      <x:c r="K397" s="35" t="str">
        <x:f>IF(J397="","",IF(J397&lt;&gt;"OK","Fix row",IF(C397="Sale",E397*F397-G397,0)))</x:f>
      </x:c>
      <x:c r="L397" s="35" t="str">
        <x:f>IF(J397="","",IF(J397&lt;&gt;"OK","Fix row",IF(C397="Sale",K397-E397*H397,0)))</x:f>
      </x:c>
    </x:row>
    <x:row r="398" ht="27" customHeight="1">
      <x:c r="A398" s="40"/>
      <x:c r="B398" s="41"/>
      <x:c r="C398" s="41"/>
      <x:c r="D398" s="41"/>
      <x:c r="E398" s="41"/>
      <x:c r="F398" s="42"/>
      <x:c r="G398" s="42"/>
      <x:c r="H398" s="42"/>
      <x:c r="I398" s="41"/>
      <x:c r="J398" s="37" t="str">
        <x:f>IF(COUNTA(A398:I398)=0,"",IF(OR(NOT(ISNUMBER(A398)),B398="",AND(C398&lt;&gt;"Sale",C398&lt;&gt;"Purchase",C398&lt;&gt;"Adjustment"),COUNTIFS(Products!$A$6:$A$105,D398)&lt;&gt;1,NOT(ISNUMBER(E398)),E398=0,AND(C398&lt;&gt;"Adjustment",E398&lt;0)),"Check inputs",IF(AND(C398="Sale",OR(NOT(ISNUMBER(F398)),NOT(ISNUMBER(G398)),NOT(ISNUMBER(H398)),F398&lt;0,G398&lt;0,H398&lt;0,G398&gt;E398*F398)),"Check sale amounts","OK")))</x:f>
      </x:c>
      <x:c r="K398" s="38" t="str">
        <x:f>IF(J398="","",IF(J398&lt;&gt;"OK","Fix row",IF(C398="Sale",E398*F398-G398,0)))</x:f>
      </x:c>
      <x:c r="L398" s="38" t="str">
        <x:f>IF(J398="","",IF(J398&lt;&gt;"OK","Fix row",IF(C398="Sale",K398-E398*H398,0)))</x:f>
      </x:c>
    </x:row>
    <x:row r="399" ht="27" customHeight="1">
      <x:c r="A399" s="40"/>
      <x:c r="B399" s="41"/>
      <x:c r="C399" s="41"/>
      <x:c r="D399" s="41"/>
      <x:c r="E399" s="41"/>
      <x:c r="F399" s="42"/>
      <x:c r="G399" s="42"/>
      <x:c r="H399" s="42"/>
      <x:c r="I399" s="41"/>
      <x:c r="J399" s="34" t="str">
        <x:f>IF(COUNTA(A399:I399)=0,"",IF(OR(NOT(ISNUMBER(A399)),B399="",AND(C399&lt;&gt;"Sale",C399&lt;&gt;"Purchase",C399&lt;&gt;"Adjustment"),COUNTIFS(Products!$A$6:$A$105,D399)&lt;&gt;1,NOT(ISNUMBER(E399)),E399=0,AND(C399&lt;&gt;"Adjustment",E399&lt;0)),"Check inputs",IF(AND(C399="Sale",OR(NOT(ISNUMBER(F399)),NOT(ISNUMBER(G399)),NOT(ISNUMBER(H399)),F399&lt;0,G399&lt;0,H399&lt;0,G399&gt;E399*F399)),"Check sale amounts","OK")))</x:f>
      </x:c>
      <x:c r="K399" s="35" t="str">
        <x:f>IF(J399="","",IF(J399&lt;&gt;"OK","Fix row",IF(C399="Sale",E399*F399-G399,0)))</x:f>
      </x:c>
      <x:c r="L399" s="35" t="str">
        <x:f>IF(J399="","",IF(J399&lt;&gt;"OK","Fix row",IF(C399="Sale",K399-E399*H399,0)))</x:f>
      </x:c>
    </x:row>
    <x:row r="400" ht="27" customHeight="1">
      <x:c r="A400" s="40"/>
      <x:c r="B400" s="41"/>
      <x:c r="C400" s="41"/>
      <x:c r="D400" s="41"/>
      <x:c r="E400" s="41"/>
      <x:c r="F400" s="42"/>
      <x:c r="G400" s="42"/>
      <x:c r="H400" s="42"/>
      <x:c r="I400" s="41"/>
      <x:c r="J400" s="37" t="str">
        <x:f>IF(COUNTA(A400:I400)=0,"",IF(OR(NOT(ISNUMBER(A400)),B400="",AND(C400&lt;&gt;"Sale",C400&lt;&gt;"Purchase",C400&lt;&gt;"Adjustment"),COUNTIFS(Products!$A$6:$A$105,D400)&lt;&gt;1,NOT(ISNUMBER(E400)),E400=0,AND(C400&lt;&gt;"Adjustment",E400&lt;0)),"Check inputs",IF(AND(C400="Sale",OR(NOT(ISNUMBER(F400)),NOT(ISNUMBER(G400)),NOT(ISNUMBER(H400)),F400&lt;0,G400&lt;0,H400&lt;0,G400&gt;E400*F400)),"Check sale amounts","OK")))</x:f>
      </x:c>
      <x:c r="K400" s="38" t="str">
        <x:f>IF(J400="","",IF(J400&lt;&gt;"OK","Fix row",IF(C400="Sale",E400*F400-G400,0)))</x:f>
      </x:c>
      <x:c r="L400" s="38" t="str">
        <x:f>IF(J400="","",IF(J400&lt;&gt;"OK","Fix row",IF(C400="Sale",K400-E400*H400,0)))</x:f>
      </x:c>
    </x:row>
    <x:row r="401" ht="27" customHeight="1">
      <x:c r="A401" s="40"/>
      <x:c r="B401" s="41"/>
      <x:c r="C401" s="41"/>
      <x:c r="D401" s="41"/>
      <x:c r="E401" s="41"/>
      <x:c r="F401" s="42"/>
      <x:c r="G401" s="42"/>
      <x:c r="H401" s="42"/>
      <x:c r="I401" s="41"/>
      <x:c r="J401" s="34" t="str">
        <x:f>IF(COUNTA(A401:I401)=0,"",IF(OR(NOT(ISNUMBER(A401)),B401="",AND(C401&lt;&gt;"Sale",C401&lt;&gt;"Purchase",C401&lt;&gt;"Adjustment"),COUNTIFS(Products!$A$6:$A$105,D401)&lt;&gt;1,NOT(ISNUMBER(E401)),E401=0,AND(C401&lt;&gt;"Adjustment",E401&lt;0)),"Check inputs",IF(AND(C401="Sale",OR(NOT(ISNUMBER(F401)),NOT(ISNUMBER(G401)),NOT(ISNUMBER(H401)),F401&lt;0,G401&lt;0,H401&lt;0,G401&gt;E401*F401)),"Check sale amounts","OK")))</x:f>
      </x:c>
      <x:c r="K401" s="35" t="str">
        <x:f>IF(J401="","",IF(J401&lt;&gt;"OK","Fix row",IF(C401="Sale",E401*F401-G401,0)))</x:f>
      </x:c>
      <x:c r="L401" s="35" t="str">
        <x:f>IF(J401="","",IF(J401&lt;&gt;"OK","Fix row",IF(C401="Sale",K401-E401*H401,0)))</x:f>
      </x:c>
    </x:row>
    <x:row r="402" ht="27" customHeight="1">
      <x:c r="A402" s="40"/>
      <x:c r="B402" s="41"/>
      <x:c r="C402" s="41"/>
      <x:c r="D402" s="41"/>
      <x:c r="E402" s="41"/>
      <x:c r="F402" s="42"/>
      <x:c r="G402" s="42"/>
      <x:c r="H402" s="42"/>
      <x:c r="I402" s="41"/>
      <x:c r="J402" s="37" t="str">
        <x:f>IF(COUNTA(A402:I402)=0,"",IF(OR(NOT(ISNUMBER(A402)),B402="",AND(C402&lt;&gt;"Sale",C402&lt;&gt;"Purchase",C402&lt;&gt;"Adjustment"),COUNTIFS(Products!$A$6:$A$105,D402)&lt;&gt;1,NOT(ISNUMBER(E402)),E402=0,AND(C402&lt;&gt;"Adjustment",E402&lt;0)),"Check inputs",IF(AND(C402="Sale",OR(NOT(ISNUMBER(F402)),NOT(ISNUMBER(G402)),NOT(ISNUMBER(H402)),F402&lt;0,G402&lt;0,H402&lt;0,G402&gt;E402*F402)),"Check sale amounts","OK")))</x:f>
      </x:c>
      <x:c r="K402" s="38" t="str">
        <x:f>IF(J402="","",IF(J402&lt;&gt;"OK","Fix row",IF(C402="Sale",E402*F402-G402,0)))</x:f>
      </x:c>
      <x:c r="L402" s="38" t="str">
        <x:f>IF(J402="","",IF(J402&lt;&gt;"OK","Fix row",IF(C402="Sale",K402-E402*H402,0)))</x:f>
      </x:c>
    </x:row>
    <x:row r="403" ht="27" customHeight="1">
      <x:c r="A403" s="40"/>
      <x:c r="B403" s="41"/>
      <x:c r="C403" s="41"/>
      <x:c r="D403" s="41"/>
      <x:c r="E403" s="41"/>
      <x:c r="F403" s="42"/>
      <x:c r="G403" s="42"/>
      <x:c r="H403" s="42"/>
      <x:c r="I403" s="41"/>
      <x:c r="J403" s="34" t="str">
        <x:f>IF(COUNTA(A403:I403)=0,"",IF(OR(NOT(ISNUMBER(A403)),B403="",AND(C403&lt;&gt;"Sale",C403&lt;&gt;"Purchase",C403&lt;&gt;"Adjustment"),COUNTIFS(Products!$A$6:$A$105,D403)&lt;&gt;1,NOT(ISNUMBER(E403)),E403=0,AND(C403&lt;&gt;"Adjustment",E403&lt;0)),"Check inputs",IF(AND(C403="Sale",OR(NOT(ISNUMBER(F403)),NOT(ISNUMBER(G403)),NOT(ISNUMBER(H403)),F403&lt;0,G403&lt;0,H403&lt;0,G403&gt;E403*F403)),"Check sale amounts","OK")))</x:f>
      </x:c>
      <x:c r="K403" s="35" t="str">
        <x:f>IF(J403="","",IF(J403&lt;&gt;"OK","Fix row",IF(C403="Sale",E403*F403-G403,0)))</x:f>
      </x:c>
      <x:c r="L403" s="35" t="str">
        <x:f>IF(J403="","",IF(J403&lt;&gt;"OK","Fix row",IF(C403="Sale",K403-E403*H403,0)))</x:f>
      </x:c>
    </x:row>
    <x:row r="404" ht="27" customHeight="1">
      <x:c r="A404" s="40"/>
      <x:c r="B404" s="41"/>
      <x:c r="C404" s="41"/>
      <x:c r="D404" s="41"/>
      <x:c r="E404" s="41"/>
      <x:c r="F404" s="42"/>
      <x:c r="G404" s="42"/>
      <x:c r="H404" s="42"/>
      <x:c r="I404" s="41"/>
      <x:c r="J404" s="37" t="str">
        <x:f>IF(COUNTA(A404:I404)=0,"",IF(OR(NOT(ISNUMBER(A404)),B404="",AND(C404&lt;&gt;"Sale",C404&lt;&gt;"Purchase",C404&lt;&gt;"Adjustment"),COUNTIFS(Products!$A$6:$A$105,D404)&lt;&gt;1,NOT(ISNUMBER(E404)),E404=0,AND(C404&lt;&gt;"Adjustment",E404&lt;0)),"Check inputs",IF(AND(C404="Sale",OR(NOT(ISNUMBER(F404)),NOT(ISNUMBER(G404)),NOT(ISNUMBER(H404)),F404&lt;0,G404&lt;0,H404&lt;0,G404&gt;E404*F404)),"Check sale amounts","OK")))</x:f>
      </x:c>
      <x:c r="K404" s="38" t="str">
        <x:f>IF(J404="","",IF(J404&lt;&gt;"OK","Fix row",IF(C404="Sale",E404*F404-G404,0)))</x:f>
      </x:c>
      <x:c r="L404" s="38" t="str">
        <x:f>IF(J404="","",IF(J404&lt;&gt;"OK","Fix row",IF(C404="Sale",K404-E404*H404,0)))</x:f>
      </x:c>
    </x:row>
    <x:row r="405" ht="27" customHeight="1">
      <x:c r="A405" s="40"/>
      <x:c r="B405" s="41"/>
      <x:c r="C405" s="41"/>
      <x:c r="D405" s="41"/>
      <x:c r="E405" s="41"/>
      <x:c r="F405" s="42"/>
      <x:c r="G405" s="42"/>
      <x:c r="H405" s="42"/>
      <x:c r="I405" s="41"/>
      <x:c r="J405" s="34" t="str">
        <x:f>IF(COUNTA(A405:I405)=0,"",IF(OR(NOT(ISNUMBER(A405)),B405="",AND(C405&lt;&gt;"Sale",C405&lt;&gt;"Purchase",C405&lt;&gt;"Adjustment"),COUNTIFS(Products!$A$6:$A$105,D405)&lt;&gt;1,NOT(ISNUMBER(E405)),E405=0,AND(C405&lt;&gt;"Adjustment",E405&lt;0)),"Check inputs",IF(AND(C405="Sale",OR(NOT(ISNUMBER(F405)),NOT(ISNUMBER(G405)),NOT(ISNUMBER(H405)),F405&lt;0,G405&lt;0,H405&lt;0,G405&gt;E405*F405)),"Check sale amounts","OK")))</x:f>
      </x:c>
      <x:c r="K405" s="35" t="str">
        <x:f>IF(J405="","",IF(J405&lt;&gt;"OK","Fix row",IF(C405="Sale",E405*F405-G405,0)))</x:f>
      </x:c>
      <x:c r="L405" s="35" t="str">
        <x:f>IF(J405="","",IF(J405&lt;&gt;"OK","Fix row",IF(C405="Sale",K405-E405*H405,0)))</x:f>
      </x:c>
    </x:row>
    <x:row r="406" ht="27" customHeight="1">
      <x:c r="A406" s="40"/>
      <x:c r="B406" s="41"/>
      <x:c r="C406" s="41"/>
      <x:c r="D406" s="41"/>
      <x:c r="E406" s="41"/>
      <x:c r="F406" s="42"/>
      <x:c r="G406" s="42"/>
      <x:c r="H406" s="42"/>
      <x:c r="I406" s="41"/>
      <x:c r="J406" s="37" t="str">
        <x:f>IF(COUNTA(A406:I406)=0,"",IF(OR(NOT(ISNUMBER(A406)),B406="",AND(C406&lt;&gt;"Sale",C406&lt;&gt;"Purchase",C406&lt;&gt;"Adjustment"),COUNTIFS(Products!$A$6:$A$105,D406)&lt;&gt;1,NOT(ISNUMBER(E406)),E406=0,AND(C406&lt;&gt;"Adjustment",E406&lt;0)),"Check inputs",IF(AND(C406="Sale",OR(NOT(ISNUMBER(F406)),NOT(ISNUMBER(G406)),NOT(ISNUMBER(H406)),F406&lt;0,G406&lt;0,H406&lt;0,G406&gt;E406*F406)),"Check sale amounts","OK")))</x:f>
      </x:c>
      <x:c r="K406" s="38" t="str">
        <x:f>IF(J406="","",IF(J406&lt;&gt;"OK","Fix row",IF(C406="Sale",E406*F406-G406,0)))</x:f>
      </x:c>
      <x:c r="L406" s="38" t="str">
        <x:f>IF(J406="","",IF(J406&lt;&gt;"OK","Fix row",IF(C406="Sale",K406-E406*H406,0)))</x:f>
      </x:c>
    </x:row>
    <x:row r="407" ht="27" customHeight="1">
      <x:c r="A407" s="40"/>
      <x:c r="B407" s="41"/>
      <x:c r="C407" s="41"/>
      <x:c r="D407" s="41"/>
      <x:c r="E407" s="41"/>
      <x:c r="F407" s="42"/>
      <x:c r="G407" s="42"/>
      <x:c r="H407" s="42"/>
      <x:c r="I407" s="41"/>
      <x:c r="J407" s="34" t="str">
        <x:f>IF(COUNTA(A407:I407)=0,"",IF(OR(NOT(ISNUMBER(A407)),B407="",AND(C407&lt;&gt;"Sale",C407&lt;&gt;"Purchase",C407&lt;&gt;"Adjustment"),COUNTIFS(Products!$A$6:$A$105,D407)&lt;&gt;1,NOT(ISNUMBER(E407)),E407=0,AND(C407&lt;&gt;"Adjustment",E407&lt;0)),"Check inputs",IF(AND(C407="Sale",OR(NOT(ISNUMBER(F407)),NOT(ISNUMBER(G407)),NOT(ISNUMBER(H407)),F407&lt;0,G407&lt;0,H407&lt;0,G407&gt;E407*F407)),"Check sale amounts","OK")))</x:f>
      </x:c>
      <x:c r="K407" s="35" t="str">
        <x:f>IF(J407="","",IF(J407&lt;&gt;"OK","Fix row",IF(C407="Sale",E407*F407-G407,0)))</x:f>
      </x:c>
      <x:c r="L407" s="35" t="str">
        <x:f>IF(J407="","",IF(J407&lt;&gt;"OK","Fix row",IF(C407="Sale",K407-E407*H407,0)))</x:f>
      </x:c>
    </x:row>
    <x:row r="408" ht="27" customHeight="1">
      <x:c r="A408" s="40"/>
      <x:c r="B408" s="41"/>
      <x:c r="C408" s="41"/>
      <x:c r="D408" s="41"/>
      <x:c r="E408" s="41"/>
      <x:c r="F408" s="42"/>
      <x:c r="G408" s="42"/>
      <x:c r="H408" s="42"/>
      <x:c r="I408" s="41"/>
      <x:c r="J408" s="37" t="str">
        <x:f>IF(COUNTA(A408:I408)=0,"",IF(OR(NOT(ISNUMBER(A408)),B408="",AND(C408&lt;&gt;"Sale",C408&lt;&gt;"Purchase",C408&lt;&gt;"Adjustment"),COUNTIFS(Products!$A$6:$A$105,D408)&lt;&gt;1,NOT(ISNUMBER(E408)),E408=0,AND(C408&lt;&gt;"Adjustment",E408&lt;0)),"Check inputs",IF(AND(C408="Sale",OR(NOT(ISNUMBER(F408)),NOT(ISNUMBER(G408)),NOT(ISNUMBER(H408)),F408&lt;0,G408&lt;0,H408&lt;0,G408&gt;E408*F408)),"Check sale amounts","OK")))</x:f>
      </x:c>
      <x:c r="K408" s="38" t="str">
        <x:f>IF(J408="","",IF(J408&lt;&gt;"OK","Fix row",IF(C408="Sale",E408*F408-G408,0)))</x:f>
      </x:c>
      <x:c r="L408" s="38" t="str">
        <x:f>IF(J408="","",IF(J408&lt;&gt;"OK","Fix row",IF(C408="Sale",K408-E408*H408,0)))</x:f>
      </x:c>
    </x:row>
    <x:row r="409" ht="27" customHeight="1">
      <x:c r="A409" s="40"/>
      <x:c r="B409" s="41"/>
      <x:c r="C409" s="41"/>
      <x:c r="D409" s="41"/>
      <x:c r="E409" s="41"/>
      <x:c r="F409" s="42"/>
      <x:c r="G409" s="42"/>
      <x:c r="H409" s="42"/>
      <x:c r="I409" s="41"/>
      <x:c r="J409" s="34" t="str">
        <x:f>IF(COUNTA(A409:I409)=0,"",IF(OR(NOT(ISNUMBER(A409)),B409="",AND(C409&lt;&gt;"Sale",C409&lt;&gt;"Purchase",C409&lt;&gt;"Adjustment"),COUNTIFS(Products!$A$6:$A$105,D409)&lt;&gt;1,NOT(ISNUMBER(E409)),E409=0,AND(C409&lt;&gt;"Adjustment",E409&lt;0)),"Check inputs",IF(AND(C409="Sale",OR(NOT(ISNUMBER(F409)),NOT(ISNUMBER(G409)),NOT(ISNUMBER(H409)),F409&lt;0,G409&lt;0,H409&lt;0,G409&gt;E409*F409)),"Check sale amounts","OK")))</x:f>
      </x:c>
      <x:c r="K409" s="35" t="str">
        <x:f>IF(J409="","",IF(J409&lt;&gt;"OK","Fix row",IF(C409="Sale",E409*F409-G409,0)))</x:f>
      </x:c>
      <x:c r="L409" s="35" t="str">
        <x:f>IF(J409="","",IF(J409&lt;&gt;"OK","Fix row",IF(C409="Sale",K409-E409*H409,0)))</x:f>
      </x:c>
    </x:row>
    <x:row r="410" ht="27" customHeight="1">
      <x:c r="A410" s="40"/>
      <x:c r="B410" s="41"/>
      <x:c r="C410" s="41"/>
      <x:c r="D410" s="41"/>
      <x:c r="E410" s="41"/>
      <x:c r="F410" s="42"/>
      <x:c r="G410" s="42"/>
      <x:c r="H410" s="42"/>
      <x:c r="I410" s="41"/>
      <x:c r="J410" s="37" t="str">
        <x:f>IF(COUNTA(A410:I410)=0,"",IF(OR(NOT(ISNUMBER(A410)),B410="",AND(C410&lt;&gt;"Sale",C410&lt;&gt;"Purchase",C410&lt;&gt;"Adjustment"),COUNTIFS(Products!$A$6:$A$105,D410)&lt;&gt;1,NOT(ISNUMBER(E410)),E410=0,AND(C410&lt;&gt;"Adjustment",E410&lt;0)),"Check inputs",IF(AND(C410="Sale",OR(NOT(ISNUMBER(F410)),NOT(ISNUMBER(G410)),NOT(ISNUMBER(H410)),F410&lt;0,G410&lt;0,H410&lt;0,G410&gt;E410*F410)),"Check sale amounts","OK")))</x:f>
      </x:c>
      <x:c r="K410" s="38" t="str">
        <x:f>IF(J410="","",IF(J410&lt;&gt;"OK","Fix row",IF(C410="Sale",E410*F410-G410,0)))</x:f>
      </x:c>
      <x:c r="L410" s="38" t="str">
        <x:f>IF(J410="","",IF(J410&lt;&gt;"OK","Fix row",IF(C410="Sale",K410-E410*H410,0)))</x:f>
      </x:c>
    </x:row>
    <x:row r="411" ht="27" customHeight="1">
      <x:c r="A411" s="40"/>
      <x:c r="B411" s="41"/>
      <x:c r="C411" s="41"/>
      <x:c r="D411" s="41"/>
      <x:c r="E411" s="41"/>
      <x:c r="F411" s="42"/>
      <x:c r="G411" s="42"/>
      <x:c r="H411" s="42"/>
      <x:c r="I411" s="41"/>
      <x:c r="J411" s="34" t="str">
        <x:f>IF(COUNTA(A411:I411)=0,"",IF(OR(NOT(ISNUMBER(A411)),B411="",AND(C411&lt;&gt;"Sale",C411&lt;&gt;"Purchase",C411&lt;&gt;"Adjustment"),COUNTIFS(Products!$A$6:$A$105,D411)&lt;&gt;1,NOT(ISNUMBER(E411)),E411=0,AND(C411&lt;&gt;"Adjustment",E411&lt;0)),"Check inputs",IF(AND(C411="Sale",OR(NOT(ISNUMBER(F411)),NOT(ISNUMBER(G411)),NOT(ISNUMBER(H411)),F411&lt;0,G411&lt;0,H411&lt;0,G411&gt;E411*F411)),"Check sale amounts","OK")))</x:f>
      </x:c>
      <x:c r="K411" s="35" t="str">
        <x:f>IF(J411="","",IF(J411&lt;&gt;"OK","Fix row",IF(C411="Sale",E411*F411-G411,0)))</x:f>
      </x:c>
      <x:c r="L411" s="35" t="str">
        <x:f>IF(J411="","",IF(J411&lt;&gt;"OK","Fix row",IF(C411="Sale",K411-E411*H411,0)))</x:f>
      </x:c>
    </x:row>
    <x:row r="412" ht="27" customHeight="1">
      <x:c r="A412" s="40"/>
      <x:c r="B412" s="41"/>
      <x:c r="C412" s="41"/>
      <x:c r="D412" s="41"/>
      <x:c r="E412" s="41"/>
      <x:c r="F412" s="42"/>
      <x:c r="G412" s="42"/>
      <x:c r="H412" s="42"/>
      <x:c r="I412" s="41"/>
      <x:c r="J412" s="37" t="str">
        <x:f>IF(COUNTA(A412:I412)=0,"",IF(OR(NOT(ISNUMBER(A412)),B412="",AND(C412&lt;&gt;"Sale",C412&lt;&gt;"Purchase",C412&lt;&gt;"Adjustment"),COUNTIFS(Products!$A$6:$A$105,D412)&lt;&gt;1,NOT(ISNUMBER(E412)),E412=0,AND(C412&lt;&gt;"Adjustment",E412&lt;0)),"Check inputs",IF(AND(C412="Sale",OR(NOT(ISNUMBER(F412)),NOT(ISNUMBER(G412)),NOT(ISNUMBER(H412)),F412&lt;0,G412&lt;0,H412&lt;0,G412&gt;E412*F412)),"Check sale amounts","OK")))</x:f>
      </x:c>
      <x:c r="K412" s="38" t="str">
        <x:f>IF(J412="","",IF(J412&lt;&gt;"OK","Fix row",IF(C412="Sale",E412*F412-G412,0)))</x:f>
      </x:c>
      <x:c r="L412" s="38" t="str">
        <x:f>IF(J412="","",IF(J412&lt;&gt;"OK","Fix row",IF(C412="Sale",K412-E412*H412,0)))</x:f>
      </x:c>
    </x:row>
    <x:row r="413" ht="27" customHeight="1">
      <x:c r="A413" s="40"/>
      <x:c r="B413" s="41"/>
      <x:c r="C413" s="41"/>
      <x:c r="D413" s="41"/>
      <x:c r="E413" s="41"/>
      <x:c r="F413" s="42"/>
      <x:c r="G413" s="42"/>
      <x:c r="H413" s="42"/>
      <x:c r="I413" s="41"/>
      <x:c r="J413" s="34" t="str">
        <x:f>IF(COUNTA(A413:I413)=0,"",IF(OR(NOT(ISNUMBER(A413)),B413="",AND(C413&lt;&gt;"Sale",C413&lt;&gt;"Purchase",C413&lt;&gt;"Adjustment"),COUNTIFS(Products!$A$6:$A$105,D413)&lt;&gt;1,NOT(ISNUMBER(E413)),E413=0,AND(C413&lt;&gt;"Adjustment",E413&lt;0)),"Check inputs",IF(AND(C413="Sale",OR(NOT(ISNUMBER(F413)),NOT(ISNUMBER(G413)),NOT(ISNUMBER(H413)),F413&lt;0,G413&lt;0,H413&lt;0,G413&gt;E413*F413)),"Check sale amounts","OK")))</x:f>
      </x:c>
      <x:c r="K413" s="35" t="str">
        <x:f>IF(J413="","",IF(J413&lt;&gt;"OK","Fix row",IF(C413="Sale",E413*F413-G413,0)))</x:f>
      </x:c>
      <x:c r="L413" s="35" t="str">
        <x:f>IF(J413="","",IF(J413&lt;&gt;"OK","Fix row",IF(C413="Sale",K413-E413*H413,0)))</x:f>
      </x:c>
    </x:row>
    <x:row r="414" ht="27" customHeight="1">
      <x:c r="A414" s="40"/>
      <x:c r="B414" s="41"/>
      <x:c r="C414" s="41"/>
      <x:c r="D414" s="41"/>
      <x:c r="E414" s="41"/>
      <x:c r="F414" s="42"/>
      <x:c r="G414" s="42"/>
      <x:c r="H414" s="42"/>
      <x:c r="I414" s="41"/>
      <x:c r="J414" s="37" t="str">
        <x:f>IF(COUNTA(A414:I414)=0,"",IF(OR(NOT(ISNUMBER(A414)),B414="",AND(C414&lt;&gt;"Sale",C414&lt;&gt;"Purchase",C414&lt;&gt;"Adjustment"),COUNTIFS(Products!$A$6:$A$105,D414)&lt;&gt;1,NOT(ISNUMBER(E414)),E414=0,AND(C414&lt;&gt;"Adjustment",E414&lt;0)),"Check inputs",IF(AND(C414="Sale",OR(NOT(ISNUMBER(F414)),NOT(ISNUMBER(G414)),NOT(ISNUMBER(H414)),F414&lt;0,G414&lt;0,H414&lt;0,G414&gt;E414*F414)),"Check sale amounts","OK")))</x:f>
      </x:c>
      <x:c r="K414" s="38" t="str">
        <x:f>IF(J414="","",IF(J414&lt;&gt;"OK","Fix row",IF(C414="Sale",E414*F414-G414,0)))</x:f>
      </x:c>
      <x:c r="L414" s="38" t="str">
        <x:f>IF(J414="","",IF(J414&lt;&gt;"OK","Fix row",IF(C414="Sale",K414-E414*H414,0)))</x:f>
      </x:c>
    </x:row>
    <x:row r="415" ht="27" customHeight="1">
      <x:c r="A415" s="40"/>
      <x:c r="B415" s="41"/>
      <x:c r="C415" s="41"/>
      <x:c r="D415" s="41"/>
      <x:c r="E415" s="41"/>
      <x:c r="F415" s="42"/>
      <x:c r="G415" s="42"/>
      <x:c r="H415" s="42"/>
      <x:c r="I415" s="41"/>
      <x:c r="J415" s="34" t="str">
        <x:f>IF(COUNTA(A415:I415)=0,"",IF(OR(NOT(ISNUMBER(A415)),B415="",AND(C415&lt;&gt;"Sale",C415&lt;&gt;"Purchase",C415&lt;&gt;"Adjustment"),COUNTIFS(Products!$A$6:$A$105,D415)&lt;&gt;1,NOT(ISNUMBER(E415)),E415=0,AND(C415&lt;&gt;"Adjustment",E415&lt;0)),"Check inputs",IF(AND(C415="Sale",OR(NOT(ISNUMBER(F415)),NOT(ISNUMBER(G415)),NOT(ISNUMBER(H415)),F415&lt;0,G415&lt;0,H415&lt;0,G415&gt;E415*F415)),"Check sale amounts","OK")))</x:f>
      </x:c>
      <x:c r="K415" s="35" t="str">
        <x:f>IF(J415="","",IF(J415&lt;&gt;"OK","Fix row",IF(C415="Sale",E415*F415-G415,0)))</x:f>
      </x:c>
      <x:c r="L415" s="35" t="str">
        <x:f>IF(J415="","",IF(J415&lt;&gt;"OK","Fix row",IF(C415="Sale",K415-E415*H415,0)))</x:f>
      </x:c>
    </x:row>
    <x:row r="416" ht="27" customHeight="1">
      <x:c r="A416" s="40"/>
      <x:c r="B416" s="41"/>
      <x:c r="C416" s="41"/>
      <x:c r="D416" s="41"/>
      <x:c r="E416" s="41"/>
      <x:c r="F416" s="42"/>
      <x:c r="G416" s="42"/>
      <x:c r="H416" s="42"/>
      <x:c r="I416" s="41"/>
      <x:c r="J416" s="37" t="str">
        <x:f>IF(COUNTA(A416:I416)=0,"",IF(OR(NOT(ISNUMBER(A416)),B416="",AND(C416&lt;&gt;"Sale",C416&lt;&gt;"Purchase",C416&lt;&gt;"Adjustment"),COUNTIFS(Products!$A$6:$A$105,D416)&lt;&gt;1,NOT(ISNUMBER(E416)),E416=0,AND(C416&lt;&gt;"Adjustment",E416&lt;0)),"Check inputs",IF(AND(C416="Sale",OR(NOT(ISNUMBER(F416)),NOT(ISNUMBER(G416)),NOT(ISNUMBER(H416)),F416&lt;0,G416&lt;0,H416&lt;0,G416&gt;E416*F416)),"Check sale amounts","OK")))</x:f>
      </x:c>
      <x:c r="K416" s="38" t="str">
        <x:f>IF(J416="","",IF(J416&lt;&gt;"OK","Fix row",IF(C416="Sale",E416*F416-G416,0)))</x:f>
      </x:c>
      <x:c r="L416" s="38" t="str">
        <x:f>IF(J416="","",IF(J416&lt;&gt;"OK","Fix row",IF(C416="Sale",K416-E416*H416,0)))</x:f>
      </x:c>
    </x:row>
    <x:row r="417" ht="27" customHeight="1">
      <x:c r="A417" s="40"/>
      <x:c r="B417" s="41"/>
      <x:c r="C417" s="41"/>
      <x:c r="D417" s="41"/>
      <x:c r="E417" s="41"/>
      <x:c r="F417" s="42"/>
      <x:c r="G417" s="42"/>
      <x:c r="H417" s="42"/>
      <x:c r="I417" s="41"/>
      <x:c r="J417" s="34" t="str">
        <x:f>IF(COUNTA(A417:I417)=0,"",IF(OR(NOT(ISNUMBER(A417)),B417="",AND(C417&lt;&gt;"Sale",C417&lt;&gt;"Purchase",C417&lt;&gt;"Adjustment"),COUNTIFS(Products!$A$6:$A$105,D417)&lt;&gt;1,NOT(ISNUMBER(E417)),E417=0,AND(C417&lt;&gt;"Adjustment",E417&lt;0)),"Check inputs",IF(AND(C417="Sale",OR(NOT(ISNUMBER(F417)),NOT(ISNUMBER(G417)),NOT(ISNUMBER(H417)),F417&lt;0,G417&lt;0,H417&lt;0,G417&gt;E417*F417)),"Check sale amounts","OK")))</x:f>
      </x:c>
      <x:c r="K417" s="35" t="str">
        <x:f>IF(J417="","",IF(J417&lt;&gt;"OK","Fix row",IF(C417="Sale",E417*F417-G417,0)))</x:f>
      </x:c>
      <x:c r="L417" s="35" t="str">
        <x:f>IF(J417="","",IF(J417&lt;&gt;"OK","Fix row",IF(C417="Sale",K417-E417*H417,0)))</x:f>
      </x:c>
    </x:row>
    <x:row r="418" ht="27" customHeight="1">
      <x:c r="A418" s="40"/>
      <x:c r="B418" s="41"/>
      <x:c r="C418" s="41"/>
      <x:c r="D418" s="41"/>
      <x:c r="E418" s="41"/>
      <x:c r="F418" s="42"/>
      <x:c r="G418" s="42"/>
      <x:c r="H418" s="42"/>
      <x:c r="I418" s="41"/>
      <x:c r="J418" s="37" t="str">
        <x:f>IF(COUNTA(A418:I418)=0,"",IF(OR(NOT(ISNUMBER(A418)),B418="",AND(C418&lt;&gt;"Sale",C418&lt;&gt;"Purchase",C418&lt;&gt;"Adjustment"),COUNTIFS(Products!$A$6:$A$105,D418)&lt;&gt;1,NOT(ISNUMBER(E418)),E418=0,AND(C418&lt;&gt;"Adjustment",E418&lt;0)),"Check inputs",IF(AND(C418="Sale",OR(NOT(ISNUMBER(F418)),NOT(ISNUMBER(G418)),NOT(ISNUMBER(H418)),F418&lt;0,G418&lt;0,H418&lt;0,G418&gt;E418*F418)),"Check sale amounts","OK")))</x:f>
      </x:c>
      <x:c r="K418" s="38" t="str">
        <x:f>IF(J418="","",IF(J418&lt;&gt;"OK","Fix row",IF(C418="Sale",E418*F418-G418,0)))</x:f>
      </x:c>
      <x:c r="L418" s="38" t="str">
        <x:f>IF(J418="","",IF(J418&lt;&gt;"OK","Fix row",IF(C418="Sale",K418-E418*H418,0)))</x:f>
      </x:c>
    </x:row>
    <x:row r="419" ht="27" customHeight="1">
      <x:c r="A419" s="40"/>
      <x:c r="B419" s="41"/>
      <x:c r="C419" s="41"/>
      <x:c r="D419" s="41"/>
      <x:c r="E419" s="41"/>
      <x:c r="F419" s="42"/>
      <x:c r="G419" s="42"/>
      <x:c r="H419" s="42"/>
      <x:c r="I419" s="41"/>
      <x:c r="J419" s="34" t="str">
        <x:f>IF(COUNTA(A419:I419)=0,"",IF(OR(NOT(ISNUMBER(A419)),B419="",AND(C419&lt;&gt;"Sale",C419&lt;&gt;"Purchase",C419&lt;&gt;"Adjustment"),COUNTIFS(Products!$A$6:$A$105,D419)&lt;&gt;1,NOT(ISNUMBER(E419)),E419=0,AND(C419&lt;&gt;"Adjustment",E419&lt;0)),"Check inputs",IF(AND(C419="Sale",OR(NOT(ISNUMBER(F419)),NOT(ISNUMBER(G419)),NOT(ISNUMBER(H419)),F419&lt;0,G419&lt;0,H419&lt;0,G419&gt;E419*F419)),"Check sale amounts","OK")))</x:f>
      </x:c>
      <x:c r="K419" s="35" t="str">
        <x:f>IF(J419="","",IF(J419&lt;&gt;"OK","Fix row",IF(C419="Sale",E419*F419-G419,0)))</x:f>
      </x:c>
      <x:c r="L419" s="35" t="str">
        <x:f>IF(J419="","",IF(J419&lt;&gt;"OK","Fix row",IF(C419="Sale",K419-E419*H419,0)))</x:f>
      </x:c>
    </x:row>
    <x:row r="420" ht="27" customHeight="1">
      <x:c r="A420" s="40"/>
      <x:c r="B420" s="41"/>
      <x:c r="C420" s="41"/>
      <x:c r="D420" s="41"/>
      <x:c r="E420" s="41"/>
      <x:c r="F420" s="42"/>
      <x:c r="G420" s="42"/>
      <x:c r="H420" s="42"/>
      <x:c r="I420" s="41"/>
      <x:c r="J420" s="37" t="str">
        <x:f>IF(COUNTA(A420:I420)=0,"",IF(OR(NOT(ISNUMBER(A420)),B420="",AND(C420&lt;&gt;"Sale",C420&lt;&gt;"Purchase",C420&lt;&gt;"Adjustment"),COUNTIFS(Products!$A$6:$A$105,D420)&lt;&gt;1,NOT(ISNUMBER(E420)),E420=0,AND(C420&lt;&gt;"Adjustment",E420&lt;0)),"Check inputs",IF(AND(C420="Sale",OR(NOT(ISNUMBER(F420)),NOT(ISNUMBER(G420)),NOT(ISNUMBER(H420)),F420&lt;0,G420&lt;0,H420&lt;0,G420&gt;E420*F420)),"Check sale amounts","OK")))</x:f>
      </x:c>
      <x:c r="K420" s="38" t="str">
        <x:f>IF(J420="","",IF(J420&lt;&gt;"OK","Fix row",IF(C420="Sale",E420*F420-G420,0)))</x:f>
      </x:c>
      <x:c r="L420" s="38" t="str">
        <x:f>IF(J420="","",IF(J420&lt;&gt;"OK","Fix row",IF(C420="Sale",K420-E420*H420,0)))</x:f>
      </x:c>
    </x:row>
    <x:row r="421" ht="27" customHeight="1">
      <x:c r="A421" s="40"/>
      <x:c r="B421" s="41"/>
      <x:c r="C421" s="41"/>
      <x:c r="D421" s="41"/>
      <x:c r="E421" s="41"/>
      <x:c r="F421" s="42"/>
      <x:c r="G421" s="42"/>
      <x:c r="H421" s="42"/>
      <x:c r="I421" s="41"/>
      <x:c r="J421" s="34" t="str">
        <x:f>IF(COUNTA(A421:I421)=0,"",IF(OR(NOT(ISNUMBER(A421)),B421="",AND(C421&lt;&gt;"Sale",C421&lt;&gt;"Purchase",C421&lt;&gt;"Adjustment"),COUNTIFS(Products!$A$6:$A$105,D421)&lt;&gt;1,NOT(ISNUMBER(E421)),E421=0,AND(C421&lt;&gt;"Adjustment",E421&lt;0)),"Check inputs",IF(AND(C421="Sale",OR(NOT(ISNUMBER(F421)),NOT(ISNUMBER(G421)),NOT(ISNUMBER(H421)),F421&lt;0,G421&lt;0,H421&lt;0,G421&gt;E421*F421)),"Check sale amounts","OK")))</x:f>
      </x:c>
      <x:c r="K421" s="35" t="str">
        <x:f>IF(J421="","",IF(J421&lt;&gt;"OK","Fix row",IF(C421="Sale",E421*F421-G421,0)))</x:f>
      </x:c>
      <x:c r="L421" s="35" t="str">
        <x:f>IF(J421="","",IF(J421&lt;&gt;"OK","Fix row",IF(C421="Sale",K421-E421*H421,0)))</x:f>
      </x:c>
    </x:row>
    <x:row r="422" ht="27" customHeight="1">
      <x:c r="A422" s="40"/>
      <x:c r="B422" s="41"/>
      <x:c r="C422" s="41"/>
      <x:c r="D422" s="41"/>
      <x:c r="E422" s="41"/>
      <x:c r="F422" s="42"/>
      <x:c r="G422" s="42"/>
      <x:c r="H422" s="42"/>
      <x:c r="I422" s="41"/>
      <x:c r="J422" s="37" t="str">
        <x:f>IF(COUNTA(A422:I422)=0,"",IF(OR(NOT(ISNUMBER(A422)),B422="",AND(C422&lt;&gt;"Sale",C422&lt;&gt;"Purchase",C422&lt;&gt;"Adjustment"),COUNTIFS(Products!$A$6:$A$105,D422)&lt;&gt;1,NOT(ISNUMBER(E422)),E422=0,AND(C422&lt;&gt;"Adjustment",E422&lt;0)),"Check inputs",IF(AND(C422="Sale",OR(NOT(ISNUMBER(F422)),NOT(ISNUMBER(G422)),NOT(ISNUMBER(H422)),F422&lt;0,G422&lt;0,H422&lt;0,G422&gt;E422*F422)),"Check sale amounts","OK")))</x:f>
      </x:c>
      <x:c r="K422" s="38" t="str">
        <x:f>IF(J422="","",IF(J422&lt;&gt;"OK","Fix row",IF(C422="Sale",E422*F422-G422,0)))</x:f>
      </x:c>
      <x:c r="L422" s="38" t="str">
        <x:f>IF(J422="","",IF(J422&lt;&gt;"OK","Fix row",IF(C422="Sale",K422-E422*H422,0)))</x:f>
      </x:c>
    </x:row>
    <x:row r="423" ht="27" customHeight="1">
      <x:c r="A423" s="40"/>
      <x:c r="B423" s="41"/>
      <x:c r="C423" s="41"/>
      <x:c r="D423" s="41"/>
      <x:c r="E423" s="41"/>
      <x:c r="F423" s="42"/>
      <x:c r="G423" s="42"/>
      <x:c r="H423" s="42"/>
      <x:c r="I423" s="41"/>
      <x:c r="J423" s="34" t="str">
        <x:f>IF(COUNTA(A423:I423)=0,"",IF(OR(NOT(ISNUMBER(A423)),B423="",AND(C423&lt;&gt;"Sale",C423&lt;&gt;"Purchase",C423&lt;&gt;"Adjustment"),COUNTIFS(Products!$A$6:$A$105,D423)&lt;&gt;1,NOT(ISNUMBER(E423)),E423=0,AND(C423&lt;&gt;"Adjustment",E423&lt;0)),"Check inputs",IF(AND(C423="Sale",OR(NOT(ISNUMBER(F423)),NOT(ISNUMBER(G423)),NOT(ISNUMBER(H423)),F423&lt;0,G423&lt;0,H423&lt;0,G423&gt;E423*F423)),"Check sale amounts","OK")))</x:f>
      </x:c>
      <x:c r="K423" s="35" t="str">
        <x:f>IF(J423="","",IF(J423&lt;&gt;"OK","Fix row",IF(C423="Sale",E423*F423-G423,0)))</x:f>
      </x:c>
      <x:c r="L423" s="35" t="str">
        <x:f>IF(J423="","",IF(J423&lt;&gt;"OK","Fix row",IF(C423="Sale",K423-E423*H423,0)))</x:f>
      </x:c>
    </x:row>
    <x:row r="424" ht="27" customHeight="1">
      <x:c r="A424" s="40"/>
      <x:c r="B424" s="41"/>
      <x:c r="C424" s="41"/>
      <x:c r="D424" s="41"/>
      <x:c r="E424" s="41"/>
      <x:c r="F424" s="42"/>
      <x:c r="G424" s="42"/>
      <x:c r="H424" s="42"/>
      <x:c r="I424" s="41"/>
      <x:c r="J424" s="37" t="str">
        <x:f>IF(COUNTA(A424:I424)=0,"",IF(OR(NOT(ISNUMBER(A424)),B424="",AND(C424&lt;&gt;"Sale",C424&lt;&gt;"Purchase",C424&lt;&gt;"Adjustment"),COUNTIFS(Products!$A$6:$A$105,D424)&lt;&gt;1,NOT(ISNUMBER(E424)),E424=0,AND(C424&lt;&gt;"Adjustment",E424&lt;0)),"Check inputs",IF(AND(C424="Sale",OR(NOT(ISNUMBER(F424)),NOT(ISNUMBER(G424)),NOT(ISNUMBER(H424)),F424&lt;0,G424&lt;0,H424&lt;0,G424&gt;E424*F424)),"Check sale amounts","OK")))</x:f>
      </x:c>
      <x:c r="K424" s="38" t="str">
        <x:f>IF(J424="","",IF(J424&lt;&gt;"OK","Fix row",IF(C424="Sale",E424*F424-G424,0)))</x:f>
      </x:c>
      <x:c r="L424" s="38" t="str">
        <x:f>IF(J424="","",IF(J424&lt;&gt;"OK","Fix row",IF(C424="Sale",K424-E424*H424,0)))</x:f>
      </x:c>
    </x:row>
    <x:row r="425" ht="27" customHeight="1">
      <x:c r="A425" s="40"/>
      <x:c r="B425" s="41"/>
      <x:c r="C425" s="41"/>
      <x:c r="D425" s="41"/>
      <x:c r="E425" s="41"/>
      <x:c r="F425" s="42"/>
      <x:c r="G425" s="42"/>
      <x:c r="H425" s="42"/>
      <x:c r="I425" s="41"/>
      <x:c r="J425" s="34" t="str">
        <x:f>IF(COUNTA(A425:I425)=0,"",IF(OR(NOT(ISNUMBER(A425)),B425="",AND(C425&lt;&gt;"Sale",C425&lt;&gt;"Purchase",C425&lt;&gt;"Adjustment"),COUNTIFS(Products!$A$6:$A$105,D425)&lt;&gt;1,NOT(ISNUMBER(E425)),E425=0,AND(C425&lt;&gt;"Adjustment",E425&lt;0)),"Check inputs",IF(AND(C425="Sale",OR(NOT(ISNUMBER(F425)),NOT(ISNUMBER(G425)),NOT(ISNUMBER(H425)),F425&lt;0,G425&lt;0,H425&lt;0,G425&gt;E425*F425)),"Check sale amounts","OK")))</x:f>
      </x:c>
      <x:c r="K425" s="35" t="str">
        <x:f>IF(J425="","",IF(J425&lt;&gt;"OK","Fix row",IF(C425="Sale",E425*F425-G425,0)))</x:f>
      </x:c>
      <x:c r="L425" s="35" t="str">
        <x:f>IF(J425="","",IF(J425&lt;&gt;"OK","Fix row",IF(C425="Sale",K425-E425*H425,0)))</x:f>
      </x:c>
    </x:row>
    <x:row r="426" ht="27" customHeight="1">
      <x:c r="A426" s="40"/>
      <x:c r="B426" s="41"/>
      <x:c r="C426" s="41"/>
      <x:c r="D426" s="41"/>
      <x:c r="E426" s="41"/>
      <x:c r="F426" s="42"/>
      <x:c r="G426" s="42"/>
      <x:c r="H426" s="42"/>
      <x:c r="I426" s="41"/>
      <x:c r="J426" s="37" t="str">
        <x:f>IF(COUNTA(A426:I426)=0,"",IF(OR(NOT(ISNUMBER(A426)),B426="",AND(C426&lt;&gt;"Sale",C426&lt;&gt;"Purchase",C426&lt;&gt;"Adjustment"),COUNTIFS(Products!$A$6:$A$105,D426)&lt;&gt;1,NOT(ISNUMBER(E426)),E426=0,AND(C426&lt;&gt;"Adjustment",E426&lt;0)),"Check inputs",IF(AND(C426="Sale",OR(NOT(ISNUMBER(F426)),NOT(ISNUMBER(G426)),NOT(ISNUMBER(H426)),F426&lt;0,G426&lt;0,H426&lt;0,G426&gt;E426*F426)),"Check sale amounts","OK")))</x:f>
      </x:c>
      <x:c r="K426" s="38" t="str">
        <x:f>IF(J426="","",IF(J426&lt;&gt;"OK","Fix row",IF(C426="Sale",E426*F426-G426,0)))</x:f>
      </x:c>
      <x:c r="L426" s="38" t="str">
        <x:f>IF(J426="","",IF(J426&lt;&gt;"OK","Fix row",IF(C426="Sale",K426-E426*H426,0)))</x:f>
      </x:c>
    </x:row>
    <x:row r="427" ht="27" customHeight="1">
      <x:c r="A427" s="40"/>
      <x:c r="B427" s="41"/>
      <x:c r="C427" s="41"/>
      <x:c r="D427" s="41"/>
      <x:c r="E427" s="41"/>
      <x:c r="F427" s="42"/>
      <x:c r="G427" s="42"/>
      <x:c r="H427" s="42"/>
      <x:c r="I427" s="41"/>
      <x:c r="J427" s="34" t="str">
        <x:f>IF(COUNTA(A427:I427)=0,"",IF(OR(NOT(ISNUMBER(A427)),B427="",AND(C427&lt;&gt;"Sale",C427&lt;&gt;"Purchase",C427&lt;&gt;"Adjustment"),COUNTIFS(Products!$A$6:$A$105,D427)&lt;&gt;1,NOT(ISNUMBER(E427)),E427=0,AND(C427&lt;&gt;"Adjustment",E427&lt;0)),"Check inputs",IF(AND(C427="Sale",OR(NOT(ISNUMBER(F427)),NOT(ISNUMBER(G427)),NOT(ISNUMBER(H427)),F427&lt;0,G427&lt;0,H427&lt;0,G427&gt;E427*F427)),"Check sale amounts","OK")))</x:f>
      </x:c>
      <x:c r="K427" s="35" t="str">
        <x:f>IF(J427="","",IF(J427&lt;&gt;"OK","Fix row",IF(C427="Sale",E427*F427-G427,0)))</x:f>
      </x:c>
      <x:c r="L427" s="35" t="str">
        <x:f>IF(J427="","",IF(J427&lt;&gt;"OK","Fix row",IF(C427="Sale",K427-E427*H427,0)))</x:f>
      </x:c>
    </x:row>
    <x:row r="428" ht="27" customHeight="1">
      <x:c r="A428" s="40"/>
      <x:c r="B428" s="41"/>
      <x:c r="C428" s="41"/>
      <x:c r="D428" s="41"/>
      <x:c r="E428" s="41"/>
      <x:c r="F428" s="42"/>
      <x:c r="G428" s="42"/>
      <x:c r="H428" s="42"/>
      <x:c r="I428" s="41"/>
      <x:c r="J428" s="37" t="str">
        <x:f>IF(COUNTA(A428:I428)=0,"",IF(OR(NOT(ISNUMBER(A428)),B428="",AND(C428&lt;&gt;"Sale",C428&lt;&gt;"Purchase",C428&lt;&gt;"Adjustment"),COUNTIFS(Products!$A$6:$A$105,D428)&lt;&gt;1,NOT(ISNUMBER(E428)),E428=0,AND(C428&lt;&gt;"Adjustment",E428&lt;0)),"Check inputs",IF(AND(C428="Sale",OR(NOT(ISNUMBER(F428)),NOT(ISNUMBER(G428)),NOT(ISNUMBER(H428)),F428&lt;0,G428&lt;0,H428&lt;0,G428&gt;E428*F428)),"Check sale amounts","OK")))</x:f>
      </x:c>
      <x:c r="K428" s="38" t="str">
        <x:f>IF(J428="","",IF(J428&lt;&gt;"OK","Fix row",IF(C428="Sale",E428*F428-G428,0)))</x:f>
      </x:c>
      <x:c r="L428" s="38" t="str">
        <x:f>IF(J428="","",IF(J428&lt;&gt;"OK","Fix row",IF(C428="Sale",K428-E428*H428,0)))</x:f>
      </x:c>
    </x:row>
    <x:row r="429" ht="27" customHeight="1">
      <x:c r="A429" s="40"/>
      <x:c r="B429" s="41"/>
      <x:c r="C429" s="41"/>
      <x:c r="D429" s="41"/>
      <x:c r="E429" s="41"/>
      <x:c r="F429" s="42"/>
      <x:c r="G429" s="42"/>
      <x:c r="H429" s="42"/>
      <x:c r="I429" s="41"/>
      <x:c r="J429" s="34" t="str">
        <x:f>IF(COUNTA(A429:I429)=0,"",IF(OR(NOT(ISNUMBER(A429)),B429="",AND(C429&lt;&gt;"Sale",C429&lt;&gt;"Purchase",C429&lt;&gt;"Adjustment"),COUNTIFS(Products!$A$6:$A$105,D429)&lt;&gt;1,NOT(ISNUMBER(E429)),E429=0,AND(C429&lt;&gt;"Adjustment",E429&lt;0)),"Check inputs",IF(AND(C429="Sale",OR(NOT(ISNUMBER(F429)),NOT(ISNUMBER(G429)),NOT(ISNUMBER(H429)),F429&lt;0,G429&lt;0,H429&lt;0,G429&gt;E429*F429)),"Check sale amounts","OK")))</x:f>
      </x:c>
      <x:c r="K429" s="35" t="str">
        <x:f>IF(J429="","",IF(J429&lt;&gt;"OK","Fix row",IF(C429="Sale",E429*F429-G429,0)))</x:f>
      </x:c>
      <x:c r="L429" s="35" t="str">
        <x:f>IF(J429="","",IF(J429&lt;&gt;"OK","Fix row",IF(C429="Sale",K429-E429*H429,0)))</x:f>
      </x:c>
    </x:row>
    <x:row r="430" ht="27" customHeight="1">
      <x:c r="A430" s="40"/>
      <x:c r="B430" s="41"/>
      <x:c r="C430" s="41"/>
      <x:c r="D430" s="41"/>
      <x:c r="E430" s="41"/>
      <x:c r="F430" s="42"/>
      <x:c r="G430" s="42"/>
      <x:c r="H430" s="42"/>
      <x:c r="I430" s="41"/>
      <x:c r="J430" s="37" t="str">
        <x:f>IF(COUNTA(A430:I430)=0,"",IF(OR(NOT(ISNUMBER(A430)),B430="",AND(C430&lt;&gt;"Sale",C430&lt;&gt;"Purchase",C430&lt;&gt;"Adjustment"),COUNTIFS(Products!$A$6:$A$105,D430)&lt;&gt;1,NOT(ISNUMBER(E430)),E430=0,AND(C430&lt;&gt;"Adjustment",E430&lt;0)),"Check inputs",IF(AND(C430="Sale",OR(NOT(ISNUMBER(F430)),NOT(ISNUMBER(G430)),NOT(ISNUMBER(H430)),F430&lt;0,G430&lt;0,H430&lt;0,G430&gt;E430*F430)),"Check sale amounts","OK")))</x:f>
      </x:c>
      <x:c r="K430" s="38" t="str">
        <x:f>IF(J430="","",IF(J430&lt;&gt;"OK","Fix row",IF(C430="Sale",E430*F430-G430,0)))</x:f>
      </x:c>
      <x:c r="L430" s="38" t="str">
        <x:f>IF(J430="","",IF(J430&lt;&gt;"OK","Fix row",IF(C430="Sale",K430-E430*H430,0)))</x:f>
      </x:c>
    </x:row>
    <x:row r="431" ht="27" customHeight="1">
      <x:c r="A431" s="40"/>
      <x:c r="B431" s="41"/>
      <x:c r="C431" s="41"/>
      <x:c r="D431" s="41"/>
      <x:c r="E431" s="41"/>
      <x:c r="F431" s="42"/>
      <x:c r="G431" s="42"/>
      <x:c r="H431" s="42"/>
      <x:c r="I431" s="41"/>
      <x:c r="J431" s="34" t="str">
        <x:f>IF(COUNTA(A431:I431)=0,"",IF(OR(NOT(ISNUMBER(A431)),B431="",AND(C431&lt;&gt;"Sale",C431&lt;&gt;"Purchase",C431&lt;&gt;"Adjustment"),COUNTIFS(Products!$A$6:$A$105,D431)&lt;&gt;1,NOT(ISNUMBER(E431)),E431=0,AND(C431&lt;&gt;"Adjustment",E431&lt;0)),"Check inputs",IF(AND(C431="Sale",OR(NOT(ISNUMBER(F431)),NOT(ISNUMBER(G431)),NOT(ISNUMBER(H431)),F431&lt;0,G431&lt;0,H431&lt;0,G431&gt;E431*F431)),"Check sale amounts","OK")))</x:f>
      </x:c>
      <x:c r="K431" s="35" t="str">
        <x:f>IF(J431="","",IF(J431&lt;&gt;"OK","Fix row",IF(C431="Sale",E431*F431-G431,0)))</x:f>
      </x:c>
      <x:c r="L431" s="35" t="str">
        <x:f>IF(J431="","",IF(J431&lt;&gt;"OK","Fix row",IF(C431="Sale",K431-E431*H431,0)))</x:f>
      </x:c>
    </x:row>
    <x:row r="432" ht="27" customHeight="1">
      <x:c r="A432" s="40"/>
      <x:c r="B432" s="41"/>
      <x:c r="C432" s="41"/>
      <x:c r="D432" s="41"/>
      <x:c r="E432" s="41"/>
      <x:c r="F432" s="42"/>
      <x:c r="G432" s="42"/>
      <x:c r="H432" s="42"/>
      <x:c r="I432" s="41"/>
      <x:c r="J432" s="37" t="str">
        <x:f>IF(COUNTA(A432:I432)=0,"",IF(OR(NOT(ISNUMBER(A432)),B432="",AND(C432&lt;&gt;"Sale",C432&lt;&gt;"Purchase",C432&lt;&gt;"Adjustment"),COUNTIFS(Products!$A$6:$A$105,D432)&lt;&gt;1,NOT(ISNUMBER(E432)),E432=0,AND(C432&lt;&gt;"Adjustment",E432&lt;0)),"Check inputs",IF(AND(C432="Sale",OR(NOT(ISNUMBER(F432)),NOT(ISNUMBER(G432)),NOT(ISNUMBER(H432)),F432&lt;0,G432&lt;0,H432&lt;0,G432&gt;E432*F432)),"Check sale amounts","OK")))</x:f>
      </x:c>
      <x:c r="K432" s="38" t="str">
        <x:f>IF(J432="","",IF(J432&lt;&gt;"OK","Fix row",IF(C432="Sale",E432*F432-G432,0)))</x:f>
      </x:c>
      <x:c r="L432" s="38" t="str">
        <x:f>IF(J432="","",IF(J432&lt;&gt;"OK","Fix row",IF(C432="Sale",K432-E432*H432,0)))</x:f>
      </x:c>
    </x:row>
    <x:row r="433" ht="27" customHeight="1">
      <x:c r="A433" s="40"/>
      <x:c r="B433" s="41"/>
      <x:c r="C433" s="41"/>
      <x:c r="D433" s="41"/>
      <x:c r="E433" s="41"/>
      <x:c r="F433" s="42"/>
      <x:c r="G433" s="42"/>
      <x:c r="H433" s="42"/>
      <x:c r="I433" s="41"/>
      <x:c r="J433" s="34" t="str">
        <x:f>IF(COUNTA(A433:I433)=0,"",IF(OR(NOT(ISNUMBER(A433)),B433="",AND(C433&lt;&gt;"Sale",C433&lt;&gt;"Purchase",C433&lt;&gt;"Adjustment"),COUNTIFS(Products!$A$6:$A$105,D433)&lt;&gt;1,NOT(ISNUMBER(E433)),E433=0,AND(C433&lt;&gt;"Adjustment",E433&lt;0)),"Check inputs",IF(AND(C433="Sale",OR(NOT(ISNUMBER(F433)),NOT(ISNUMBER(G433)),NOT(ISNUMBER(H433)),F433&lt;0,G433&lt;0,H433&lt;0,G433&gt;E433*F433)),"Check sale amounts","OK")))</x:f>
      </x:c>
      <x:c r="K433" s="35" t="str">
        <x:f>IF(J433="","",IF(J433&lt;&gt;"OK","Fix row",IF(C433="Sale",E433*F433-G433,0)))</x:f>
      </x:c>
      <x:c r="L433" s="35" t="str">
        <x:f>IF(J433="","",IF(J433&lt;&gt;"OK","Fix row",IF(C433="Sale",K433-E433*H433,0)))</x:f>
      </x:c>
    </x:row>
    <x:row r="434" ht="27" customHeight="1">
      <x:c r="A434" s="40"/>
      <x:c r="B434" s="41"/>
      <x:c r="C434" s="41"/>
      <x:c r="D434" s="41"/>
      <x:c r="E434" s="41"/>
      <x:c r="F434" s="42"/>
      <x:c r="G434" s="42"/>
      <x:c r="H434" s="42"/>
      <x:c r="I434" s="41"/>
      <x:c r="J434" s="37" t="str">
        <x:f>IF(COUNTA(A434:I434)=0,"",IF(OR(NOT(ISNUMBER(A434)),B434="",AND(C434&lt;&gt;"Sale",C434&lt;&gt;"Purchase",C434&lt;&gt;"Adjustment"),COUNTIFS(Products!$A$6:$A$105,D434)&lt;&gt;1,NOT(ISNUMBER(E434)),E434=0,AND(C434&lt;&gt;"Adjustment",E434&lt;0)),"Check inputs",IF(AND(C434="Sale",OR(NOT(ISNUMBER(F434)),NOT(ISNUMBER(G434)),NOT(ISNUMBER(H434)),F434&lt;0,G434&lt;0,H434&lt;0,G434&gt;E434*F434)),"Check sale amounts","OK")))</x:f>
      </x:c>
      <x:c r="K434" s="38" t="str">
        <x:f>IF(J434="","",IF(J434&lt;&gt;"OK","Fix row",IF(C434="Sale",E434*F434-G434,0)))</x:f>
      </x:c>
      <x:c r="L434" s="38" t="str">
        <x:f>IF(J434="","",IF(J434&lt;&gt;"OK","Fix row",IF(C434="Sale",K434-E434*H434,0)))</x:f>
      </x:c>
    </x:row>
    <x:row r="435" ht="27" customHeight="1">
      <x:c r="A435" s="40"/>
      <x:c r="B435" s="41"/>
      <x:c r="C435" s="41"/>
      <x:c r="D435" s="41"/>
      <x:c r="E435" s="41"/>
      <x:c r="F435" s="42"/>
      <x:c r="G435" s="42"/>
      <x:c r="H435" s="42"/>
      <x:c r="I435" s="41"/>
      <x:c r="J435" s="34" t="str">
        <x:f>IF(COUNTA(A435:I435)=0,"",IF(OR(NOT(ISNUMBER(A435)),B435="",AND(C435&lt;&gt;"Sale",C435&lt;&gt;"Purchase",C435&lt;&gt;"Adjustment"),COUNTIFS(Products!$A$6:$A$105,D435)&lt;&gt;1,NOT(ISNUMBER(E435)),E435=0,AND(C435&lt;&gt;"Adjustment",E435&lt;0)),"Check inputs",IF(AND(C435="Sale",OR(NOT(ISNUMBER(F435)),NOT(ISNUMBER(G435)),NOT(ISNUMBER(H435)),F435&lt;0,G435&lt;0,H435&lt;0,G435&gt;E435*F435)),"Check sale amounts","OK")))</x:f>
      </x:c>
      <x:c r="K435" s="35" t="str">
        <x:f>IF(J435="","",IF(J435&lt;&gt;"OK","Fix row",IF(C435="Sale",E435*F435-G435,0)))</x:f>
      </x:c>
      <x:c r="L435" s="35" t="str">
        <x:f>IF(J435="","",IF(J435&lt;&gt;"OK","Fix row",IF(C435="Sale",K435-E435*H435,0)))</x:f>
      </x:c>
    </x:row>
    <x:row r="436" ht="27" customHeight="1">
      <x:c r="A436" s="40"/>
      <x:c r="B436" s="41"/>
      <x:c r="C436" s="41"/>
      <x:c r="D436" s="41"/>
      <x:c r="E436" s="41"/>
      <x:c r="F436" s="42"/>
      <x:c r="G436" s="42"/>
      <x:c r="H436" s="42"/>
      <x:c r="I436" s="41"/>
      <x:c r="J436" s="37" t="str">
        <x:f>IF(COUNTA(A436:I436)=0,"",IF(OR(NOT(ISNUMBER(A436)),B436="",AND(C436&lt;&gt;"Sale",C436&lt;&gt;"Purchase",C436&lt;&gt;"Adjustment"),COUNTIFS(Products!$A$6:$A$105,D436)&lt;&gt;1,NOT(ISNUMBER(E436)),E436=0,AND(C436&lt;&gt;"Adjustment",E436&lt;0)),"Check inputs",IF(AND(C436="Sale",OR(NOT(ISNUMBER(F436)),NOT(ISNUMBER(G436)),NOT(ISNUMBER(H436)),F436&lt;0,G436&lt;0,H436&lt;0,G436&gt;E436*F436)),"Check sale amounts","OK")))</x:f>
      </x:c>
      <x:c r="K436" s="38" t="str">
        <x:f>IF(J436="","",IF(J436&lt;&gt;"OK","Fix row",IF(C436="Sale",E436*F436-G436,0)))</x:f>
      </x:c>
      <x:c r="L436" s="38" t="str">
        <x:f>IF(J436="","",IF(J436&lt;&gt;"OK","Fix row",IF(C436="Sale",K436-E436*H436,0)))</x:f>
      </x:c>
    </x:row>
    <x:row r="437" ht="27" customHeight="1">
      <x:c r="A437" s="40"/>
      <x:c r="B437" s="41"/>
      <x:c r="C437" s="41"/>
      <x:c r="D437" s="41"/>
      <x:c r="E437" s="41"/>
      <x:c r="F437" s="42"/>
      <x:c r="G437" s="42"/>
      <x:c r="H437" s="42"/>
      <x:c r="I437" s="41"/>
      <x:c r="J437" s="34" t="str">
        <x:f>IF(COUNTA(A437:I437)=0,"",IF(OR(NOT(ISNUMBER(A437)),B437="",AND(C437&lt;&gt;"Sale",C437&lt;&gt;"Purchase",C437&lt;&gt;"Adjustment"),COUNTIFS(Products!$A$6:$A$105,D437)&lt;&gt;1,NOT(ISNUMBER(E437)),E437=0,AND(C437&lt;&gt;"Adjustment",E437&lt;0)),"Check inputs",IF(AND(C437="Sale",OR(NOT(ISNUMBER(F437)),NOT(ISNUMBER(G437)),NOT(ISNUMBER(H437)),F437&lt;0,G437&lt;0,H437&lt;0,G437&gt;E437*F437)),"Check sale amounts","OK")))</x:f>
      </x:c>
      <x:c r="K437" s="35" t="str">
        <x:f>IF(J437="","",IF(J437&lt;&gt;"OK","Fix row",IF(C437="Sale",E437*F437-G437,0)))</x:f>
      </x:c>
      <x:c r="L437" s="35" t="str">
        <x:f>IF(J437="","",IF(J437&lt;&gt;"OK","Fix row",IF(C437="Sale",K437-E437*H437,0)))</x:f>
      </x:c>
    </x:row>
    <x:row r="438" ht="27" customHeight="1">
      <x:c r="A438" s="40"/>
      <x:c r="B438" s="41"/>
      <x:c r="C438" s="41"/>
      <x:c r="D438" s="41"/>
      <x:c r="E438" s="41"/>
      <x:c r="F438" s="42"/>
      <x:c r="G438" s="42"/>
      <x:c r="H438" s="42"/>
      <x:c r="I438" s="41"/>
      <x:c r="J438" s="37" t="str">
        <x:f>IF(COUNTA(A438:I438)=0,"",IF(OR(NOT(ISNUMBER(A438)),B438="",AND(C438&lt;&gt;"Sale",C438&lt;&gt;"Purchase",C438&lt;&gt;"Adjustment"),COUNTIFS(Products!$A$6:$A$105,D438)&lt;&gt;1,NOT(ISNUMBER(E438)),E438=0,AND(C438&lt;&gt;"Adjustment",E438&lt;0)),"Check inputs",IF(AND(C438="Sale",OR(NOT(ISNUMBER(F438)),NOT(ISNUMBER(G438)),NOT(ISNUMBER(H438)),F438&lt;0,G438&lt;0,H438&lt;0,G438&gt;E438*F438)),"Check sale amounts","OK")))</x:f>
      </x:c>
      <x:c r="K438" s="38" t="str">
        <x:f>IF(J438="","",IF(J438&lt;&gt;"OK","Fix row",IF(C438="Sale",E438*F438-G438,0)))</x:f>
      </x:c>
      <x:c r="L438" s="38" t="str">
        <x:f>IF(J438="","",IF(J438&lt;&gt;"OK","Fix row",IF(C438="Sale",K438-E438*H438,0)))</x:f>
      </x:c>
    </x:row>
    <x:row r="439" ht="27" customHeight="1">
      <x:c r="A439" s="40"/>
      <x:c r="B439" s="41"/>
      <x:c r="C439" s="41"/>
      <x:c r="D439" s="41"/>
      <x:c r="E439" s="41"/>
      <x:c r="F439" s="42"/>
      <x:c r="G439" s="42"/>
      <x:c r="H439" s="42"/>
      <x:c r="I439" s="41"/>
      <x:c r="J439" s="34" t="str">
        <x:f>IF(COUNTA(A439:I439)=0,"",IF(OR(NOT(ISNUMBER(A439)),B439="",AND(C439&lt;&gt;"Sale",C439&lt;&gt;"Purchase",C439&lt;&gt;"Adjustment"),COUNTIFS(Products!$A$6:$A$105,D439)&lt;&gt;1,NOT(ISNUMBER(E439)),E439=0,AND(C439&lt;&gt;"Adjustment",E439&lt;0)),"Check inputs",IF(AND(C439="Sale",OR(NOT(ISNUMBER(F439)),NOT(ISNUMBER(G439)),NOT(ISNUMBER(H439)),F439&lt;0,G439&lt;0,H439&lt;0,G439&gt;E439*F439)),"Check sale amounts","OK")))</x:f>
      </x:c>
      <x:c r="K439" s="35" t="str">
        <x:f>IF(J439="","",IF(J439&lt;&gt;"OK","Fix row",IF(C439="Sale",E439*F439-G439,0)))</x:f>
      </x:c>
      <x:c r="L439" s="35" t="str">
        <x:f>IF(J439="","",IF(J439&lt;&gt;"OK","Fix row",IF(C439="Sale",K439-E439*H439,0)))</x:f>
      </x:c>
    </x:row>
    <x:row r="440" ht="27" customHeight="1">
      <x:c r="A440" s="40"/>
      <x:c r="B440" s="41"/>
      <x:c r="C440" s="41"/>
      <x:c r="D440" s="41"/>
      <x:c r="E440" s="41"/>
      <x:c r="F440" s="42"/>
      <x:c r="G440" s="42"/>
      <x:c r="H440" s="42"/>
      <x:c r="I440" s="41"/>
      <x:c r="J440" s="37" t="str">
        <x:f>IF(COUNTA(A440:I440)=0,"",IF(OR(NOT(ISNUMBER(A440)),B440="",AND(C440&lt;&gt;"Sale",C440&lt;&gt;"Purchase",C440&lt;&gt;"Adjustment"),COUNTIFS(Products!$A$6:$A$105,D440)&lt;&gt;1,NOT(ISNUMBER(E440)),E440=0,AND(C440&lt;&gt;"Adjustment",E440&lt;0)),"Check inputs",IF(AND(C440="Sale",OR(NOT(ISNUMBER(F440)),NOT(ISNUMBER(G440)),NOT(ISNUMBER(H440)),F440&lt;0,G440&lt;0,H440&lt;0,G440&gt;E440*F440)),"Check sale amounts","OK")))</x:f>
      </x:c>
      <x:c r="K440" s="38" t="str">
        <x:f>IF(J440="","",IF(J440&lt;&gt;"OK","Fix row",IF(C440="Sale",E440*F440-G440,0)))</x:f>
      </x:c>
      <x:c r="L440" s="38" t="str">
        <x:f>IF(J440="","",IF(J440&lt;&gt;"OK","Fix row",IF(C440="Sale",K440-E440*H440,0)))</x:f>
      </x:c>
    </x:row>
    <x:row r="441" ht="27" customHeight="1">
      <x:c r="A441" s="40"/>
      <x:c r="B441" s="41"/>
      <x:c r="C441" s="41"/>
      <x:c r="D441" s="41"/>
      <x:c r="E441" s="41"/>
      <x:c r="F441" s="42"/>
      <x:c r="G441" s="42"/>
      <x:c r="H441" s="42"/>
      <x:c r="I441" s="41"/>
      <x:c r="J441" s="34" t="str">
        <x:f>IF(COUNTA(A441:I441)=0,"",IF(OR(NOT(ISNUMBER(A441)),B441="",AND(C441&lt;&gt;"Sale",C441&lt;&gt;"Purchase",C441&lt;&gt;"Adjustment"),COUNTIFS(Products!$A$6:$A$105,D441)&lt;&gt;1,NOT(ISNUMBER(E441)),E441=0,AND(C441&lt;&gt;"Adjustment",E441&lt;0)),"Check inputs",IF(AND(C441="Sale",OR(NOT(ISNUMBER(F441)),NOT(ISNUMBER(G441)),NOT(ISNUMBER(H441)),F441&lt;0,G441&lt;0,H441&lt;0,G441&gt;E441*F441)),"Check sale amounts","OK")))</x:f>
      </x:c>
      <x:c r="K441" s="35" t="str">
        <x:f>IF(J441="","",IF(J441&lt;&gt;"OK","Fix row",IF(C441="Sale",E441*F441-G441,0)))</x:f>
      </x:c>
      <x:c r="L441" s="35" t="str">
        <x:f>IF(J441="","",IF(J441&lt;&gt;"OK","Fix row",IF(C441="Sale",K441-E441*H441,0)))</x:f>
      </x:c>
    </x:row>
    <x:row r="442" ht="27" customHeight="1">
      <x:c r="A442" s="40"/>
      <x:c r="B442" s="41"/>
      <x:c r="C442" s="41"/>
      <x:c r="D442" s="41"/>
      <x:c r="E442" s="41"/>
      <x:c r="F442" s="42"/>
      <x:c r="G442" s="42"/>
      <x:c r="H442" s="42"/>
      <x:c r="I442" s="41"/>
      <x:c r="J442" s="37" t="str">
        <x:f>IF(COUNTA(A442:I442)=0,"",IF(OR(NOT(ISNUMBER(A442)),B442="",AND(C442&lt;&gt;"Sale",C442&lt;&gt;"Purchase",C442&lt;&gt;"Adjustment"),COUNTIFS(Products!$A$6:$A$105,D442)&lt;&gt;1,NOT(ISNUMBER(E442)),E442=0,AND(C442&lt;&gt;"Adjustment",E442&lt;0)),"Check inputs",IF(AND(C442="Sale",OR(NOT(ISNUMBER(F442)),NOT(ISNUMBER(G442)),NOT(ISNUMBER(H442)),F442&lt;0,G442&lt;0,H442&lt;0,G442&gt;E442*F442)),"Check sale amounts","OK")))</x:f>
      </x:c>
      <x:c r="K442" s="38" t="str">
        <x:f>IF(J442="","",IF(J442&lt;&gt;"OK","Fix row",IF(C442="Sale",E442*F442-G442,0)))</x:f>
      </x:c>
      <x:c r="L442" s="38" t="str">
        <x:f>IF(J442="","",IF(J442&lt;&gt;"OK","Fix row",IF(C442="Sale",K442-E442*H442,0)))</x:f>
      </x:c>
    </x:row>
    <x:row r="443" ht="27" customHeight="1">
      <x:c r="A443" s="40"/>
      <x:c r="B443" s="41"/>
      <x:c r="C443" s="41"/>
      <x:c r="D443" s="41"/>
      <x:c r="E443" s="41"/>
      <x:c r="F443" s="42"/>
      <x:c r="G443" s="42"/>
      <x:c r="H443" s="42"/>
      <x:c r="I443" s="41"/>
      <x:c r="J443" s="34" t="str">
        <x:f>IF(COUNTA(A443:I443)=0,"",IF(OR(NOT(ISNUMBER(A443)),B443="",AND(C443&lt;&gt;"Sale",C443&lt;&gt;"Purchase",C443&lt;&gt;"Adjustment"),COUNTIFS(Products!$A$6:$A$105,D443)&lt;&gt;1,NOT(ISNUMBER(E443)),E443=0,AND(C443&lt;&gt;"Adjustment",E443&lt;0)),"Check inputs",IF(AND(C443="Sale",OR(NOT(ISNUMBER(F443)),NOT(ISNUMBER(G443)),NOT(ISNUMBER(H443)),F443&lt;0,G443&lt;0,H443&lt;0,G443&gt;E443*F443)),"Check sale amounts","OK")))</x:f>
      </x:c>
      <x:c r="K443" s="35" t="str">
        <x:f>IF(J443="","",IF(J443&lt;&gt;"OK","Fix row",IF(C443="Sale",E443*F443-G443,0)))</x:f>
      </x:c>
      <x:c r="L443" s="35" t="str">
        <x:f>IF(J443="","",IF(J443&lt;&gt;"OK","Fix row",IF(C443="Sale",K443-E443*H443,0)))</x:f>
      </x:c>
    </x:row>
    <x:row r="444" ht="27" customHeight="1">
      <x:c r="A444" s="40"/>
      <x:c r="B444" s="41"/>
      <x:c r="C444" s="41"/>
      <x:c r="D444" s="41"/>
      <x:c r="E444" s="41"/>
      <x:c r="F444" s="42"/>
      <x:c r="G444" s="42"/>
      <x:c r="H444" s="42"/>
      <x:c r="I444" s="41"/>
      <x:c r="J444" s="37" t="str">
        <x:f>IF(COUNTA(A444:I444)=0,"",IF(OR(NOT(ISNUMBER(A444)),B444="",AND(C444&lt;&gt;"Sale",C444&lt;&gt;"Purchase",C444&lt;&gt;"Adjustment"),COUNTIFS(Products!$A$6:$A$105,D444)&lt;&gt;1,NOT(ISNUMBER(E444)),E444=0,AND(C444&lt;&gt;"Adjustment",E444&lt;0)),"Check inputs",IF(AND(C444="Sale",OR(NOT(ISNUMBER(F444)),NOT(ISNUMBER(G444)),NOT(ISNUMBER(H444)),F444&lt;0,G444&lt;0,H444&lt;0,G444&gt;E444*F444)),"Check sale amounts","OK")))</x:f>
      </x:c>
      <x:c r="K444" s="38" t="str">
        <x:f>IF(J444="","",IF(J444&lt;&gt;"OK","Fix row",IF(C444="Sale",E444*F444-G444,0)))</x:f>
      </x:c>
      <x:c r="L444" s="38" t="str">
        <x:f>IF(J444="","",IF(J444&lt;&gt;"OK","Fix row",IF(C444="Sale",K444-E444*H444,0)))</x:f>
      </x:c>
    </x:row>
    <x:row r="445" ht="27" customHeight="1">
      <x:c r="A445" s="40"/>
      <x:c r="B445" s="41"/>
      <x:c r="C445" s="41"/>
      <x:c r="D445" s="41"/>
      <x:c r="E445" s="41"/>
      <x:c r="F445" s="42"/>
      <x:c r="G445" s="42"/>
      <x:c r="H445" s="42"/>
      <x:c r="I445" s="41"/>
      <x:c r="J445" s="34" t="str">
        <x:f>IF(COUNTA(A445:I445)=0,"",IF(OR(NOT(ISNUMBER(A445)),B445="",AND(C445&lt;&gt;"Sale",C445&lt;&gt;"Purchase",C445&lt;&gt;"Adjustment"),COUNTIFS(Products!$A$6:$A$105,D445)&lt;&gt;1,NOT(ISNUMBER(E445)),E445=0,AND(C445&lt;&gt;"Adjustment",E445&lt;0)),"Check inputs",IF(AND(C445="Sale",OR(NOT(ISNUMBER(F445)),NOT(ISNUMBER(G445)),NOT(ISNUMBER(H445)),F445&lt;0,G445&lt;0,H445&lt;0,G445&gt;E445*F445)),"Check sale amounts","OK")))</x:f>
      </x:c>
      <x:c r="K445" s="35" t="str">
        <x:f>IF(J445="","",IF(J445&lt;&gt;"OK","Fix row",IF(C445="Sale",E445*F445-G445,0)))</x:f>
      </x:c>
      <x:c r="L445" s="35" t="str">
        <x:f>IF(J445="","",IF(J445&lt;&gt;"OK","Fix row",IF(C445="Sale",K445-E445*H445,0)))</x:f>
      </x:c>
    </x:row>
    <x:row r="446" ht="27" customHeight="1">
      <x:c r="A446" s="40"/>
      <x:c r="B446" s="41"/>
      <x:c r="C446" s="41"/>
      <x:c r="D446" s="41"/>
      <x:c r="E446" s="41"/>
      <x:c r="F446" s="42"/>
      <x:c r="G446" s="42"/>
      <x:c r="H446" s="42"/>
      <x:c r="I446" s="41"/>
      <x:c r="J446" s="37" t="str">
        <x:f>IF(COUNTA(A446:I446)=0,"",IF(OR(NOT(ISNUMBER(A446)),B446="",AND(C446&lt;&gt;"Sale",C446&lt;&gt;"Purchase",C446&lt;&gt;"Adjustment"),COUNTIFS(Products!$A$6:$A$105,D446)&lt;&gt;1,NOT(ISNUMBER(E446)),E446=0,AND(C446&lt;&gt;"Adjustment",E446&lt;0)),"Check inputs",IF(AND(C446="Sale",OR(NOT(ISNUMBER(F446)),NOT(ISNUMBER(G446)),NOT(ISNUMBER(H446)),F446&lt;0,G446&lt;0,H446&lt;0,G446&gt;E446*F446)),"Check sale amounts","OK")))</x:f>
      </x:c>
      <x:c r="K446" s="38" t="str">
        <x:f>IF(J446="","",IF(J446&lt;&gt;"OK","Fix row",IF(C446="Sale",E446*F446-G446,0)))</x:f>
      </x:c>
      <x:c r="L446" s="38" t="str">
        <x:f>IF(J446="","",IF(J446&lt;&gt;"OK","Fix row",IF(C446="Sale",K446-E446*H446,0)))</x:f>
      </x:c>
    </x:row>
    <x:row r="447" ht="27" customHeight="1">
      <x:c r="A447" s="40"/>
      <x:c r="B447" s="41"/>
      <x:c r="C447" s="41"/>
      <x:c r="D447" s="41"/>
      <x:c r="E447" s="41"/>
      <x:c r="F447" s="42"/>
      <x:c r="G447" s="42"/>
      <x:c r="H447" s="42"/>
      <x:c r="I447" s="41"/>
      <x:c r="J447" s="34" t="str">
        <x:f>IF(COUNTA(A447:I447)=0,"",IF(OR(NOT(ISNUMBER(A447)),B447="",AND(C447&lt;&gt;"Sale",C447&lt;&gt;"Purchase",C447&lt;&gt;"Adjustment"),COUNTIFS(Products!$A$6:$A$105,D447)&lt;&gt;1,NOT(ISNUMBER(E447)),E447=0,AND(C447&lt;&gt;"Adjustment",E447&lt;0)),"Check inputs",IF(AND(C447="Sale",OR(NOT(ISNUMBER(F447)),NOT(ISNUMBER(G447)),NOT(ISNUMBER(H447)),F447&lt;0,G447&lt;0,H447&lt;0,G447&gt;E447*F447)),"Check sale amounts","OK")))</x:f>
      </x:c>
      <x:c r="K447" s="35" t="str">
        <x:f>IF(J447="","",IF(J447&lt;&gt;"OK","Fix row",IF(C447="Sale",E447*F447-G447,0)))</x:f>
      </x:c>
      <x:c r="L447" s="35" t="str">
        <x:f>IF(J447="","",IF(J447&lt;&gt;"OK","Fix row",IF(C447="Sale",K447-E447*H447,0)))</x:f>
      </x:c>
    </x:row>
    <x:row r="448" ht="27" customHeight="1">
      <x:c r="A448" s="40"/>
      <x:c r="B448" s="41"/>
      <x:c r="C448" s="41"/>
      <x:c r="D448" s="41"/>
      <x:c r="E448" s="41"/>
      <x:c r="F448" s="42"/>
      <x:c r="G448" s="42"/>
      <x:c r="H448" s="42"/>
      <x:c r="I448" s="41"/>
      <x:c r="J448" s="37" t="str">
        <x:f>IF(COUNTA(A448:I448)=0,"",IF(OR(NOT(ISNUMBER(A448)),B448="",AND(C448&lt;&gt;"Sale",C448&lt;&gt;"Purchase",C448&lt;&gt;"Adjustment"),COUNTIFS(Products!$A$6:$A$105,D448)&lt;&gt;1,NOT(ISNUMBER(E448)),E448=0,AND(C448&lt;&gt;"Adjustment",E448&lt;0)),"Check inputs",IF(AND(C448="Sale",OR(NOT(ISNUMBER(F448)),NOT(ISNUMBER(G448)),NOT(ISNUMBER(H448)),F448&lt;0,G448&lt;0,H448&lt;0,G448&gt;E448*F448)),"Check sale amounts","OK")))</x:f>
      </x:c>
      <x:c r="K448" s="38" t="str">
        <x:f>IF(J448="","",IF(J448&lt;&gt;"OK","Fix row",IF(C448="Sale",E448*F448-G448,0)))</x:f>
      </x:c>
      <x:c r="L448" s="38" t="str">
        <x:f>IF(J448="","",IF(J448&lt;&gt;"OK","Fix row",IF(C448="Sale",K448-E448*H448,0)))</x:f>
      </x:c>
    </x:row>
    <x:row r="449" ht="27" customHeight="1">
      <x:c r="A449" s="40"/>
      <x:c r="B449" s="41"/>
      <x:c r="C449" s="41"/>
      <x:c r="D449" s="41"/>
      <x:c r="E449" s="41"/>
      <x:c r="F449" s="42"/>
      <x:c r="G449" s="42"/>
      <x:c r="H449" s="42"/>
      <x:c r="I449" s="41"/>
      <x:c r="J449" s="34" t="str">
        <x:f>IF(COUNTA(A449:I449)=0,"",IF(OR(NOT(ISNUMBER(A449)),B449="",AND(C449&lt;&gt;"Sale",C449&lt;&gt;"Purchase",C449&lt;&gt;"Adjustment"),COUNTIFS(Products!$A$6:$A$105,D449)&lt;&gt;1,NOT(ISNUMBER(E449)),E449=0,AND(C449&lt;&gt;"Adjustment",E449&lt;0)),"Check inputs",IF(AND(C449="Sale",OR(NOT(ISNUMBER(F449)),NOT(ISNUMBER(G449)),NOT(ISNUMBER(H449)),F449&lt;0,G449&lt;0,H449&lt;0,G449&gt;E449*F449)),"Check sale amounts","OK")))</x:f>
      </x:c>
      <x:c r="K449" s="35" t="str">
        <x:f>IF(J449="","",IF(J449&lt;&gt;"OK","Fix row",IF(C449="Sale",E449*F449-G449,0)))</x:f>
      </x:c>
      <x:c r="L449" s="35" t="str">
        <x:f>IF(J449="","",IF(J449&lt;&gt;"OK","Fix row",IF(C449="Sale",K449-E449*H449,0)))</x:f>
      </x:c>
    </x:row>
    <x:row r="450" ht="27" customHeight="1">
      <x:c r="A450" s="40"/>
      <x:c r="B450" s="41"/>
      <x:c r="C450" s="41"/>
      <x:c r="D450" s="41"/>
      <x:c r="E450" s="41"/>
      <x:c r="F450" s="42"/>
      <x:c r="G450" s="42"/>
      <x:c r="H450" s="42"/>
      <x:c r="I450" s="41"/>
      <x:c r="J450" s="37" t="str">
        <x:f>IF(COUNTA(A450:I450)=0,"",IF(OR(NOT(ISNUMBER(A450)),B450="",AND(C450&lt;&gt;"Sale",C450&lt;&gt;"Purchase",C450&lt;&gt;"Adjustment"),COUNTIFS(Products!$A$6:$A$105,D450)&lt;&gt;1,NOT(ISNUMBER(E450)),E450=0,AND(C450&lt;&gt;"Adjustment",E450&lt;0)),"Check inputs",IF(AND(C450="Sale",OR(NOT(ISNUMBER(F450)),NOT(ISNUMBER(G450)),NOT(ISNUMBER(H450)),F450&lt;0,G450&lt;0,H450&lt;0,G450&gt;E450*F450)),"Check sale amounts","OK")))</x:f>
      </x:c>
      <x:c r="K450" s="38" t="str">
        <x:f>IF(J450="","",IF(J450&lt;&gt;"OK","Fix row",IF(C450="Sale",E450*F450-G450,0)))</x:f>
      </x:c>
      <x:c r="L450" s="38" t="str">
        <x:f>IF(J450="","",IF(J450&lt;&gt;"OK","Fix row",IF(C450="Sale",K450-E450*H450,0)))</x:f>
      </x:c>
    </x:row>
    <x:row r="451" ht="27" customHeight="1">
      <x:c r="A451" s="40"/>
      <x:c r="B451" s="41"/>
      <x:c r="C451" s="41"/>
      <x:c r="D451" s="41"/>
      <x:c r="E451" s="41"/>
      <x:c r="F451" s="42"/>
      <x:c r="G451" s="42"/>
      <x:c r="H451" s="42"/>
      <x:c r="I451" s="41"/>
      <x:c r="J451" s="34" t="str">
        <x:f>IF(COUNTA(A451:I451)=0,"",IF(OR(NOT(ISNUMBER(A451)),B451="",AND(C451&lt;&gt;"Sale",C451&lt;&gt;"Purchase",C451&lt;&gt;"Adjustment"),COUNTIFS(Products!$A$6:$A$105,D451)&lt;&gt;1,NOT(ISNUMBER(E451)),E451=0,AND(C451&lt;&gt;"Adjustment",E451&lt;0)),"Check inputs",IF(AND(C451="Sale",OR(NOT(ISNUMBER(F451)),NOT(ISNUMBER(G451)),NOT(ISNUMBER(H451)),F451&lt;0,G451&lt;0,H451&lt;0,G451&gt;E451*F451)),"Check sale amounts","OK")))</x:f>
      </x:c>
      <x:c r="K451" s="35" t="str">
        <x:f>IF(J451="","",IF(J451&lt;&gt;"OK","Fix row",IF(C451="Sale",E451*F451-G451,0)))</x:f>
      </x:c>
      <x:c r="L451" s="35" t="str">
        <x:f>IF(J451="","",IF(J451&lt;&gt;"OK","Fix row",IF(C451="Sale",K451-E451*H451,0)))</x:f>
      </x:c>
    </x:row>
    <x:row r="452" ht="27" customHeight="1">
      <x:c r="A452" s="40"/>
      <x:c r="B452" s="41"/>
      <x:c r="C452" s="41"/>
      <x:c r="D452" s="41"/>
      <x:c r="E452" s="41"/>
      <x:c r="F452" s="42"/>
      <x:c r="G452" s="42"/>
      <x:c r="H452" s="42"/>
      <x:c r="I452" s="41"/>
      <x:c r="J452" s="37" t="str">
        <x:f>IF(COUNTA(A452:I452)=0,"",IF(OR(NOT(ISNUMBER(A452)),B452="",AND(C452&lt;&gt;"Sale",C452&lt;&gt;"Purchase",C452&lt;&gt;"Adjustment"),COUNTIFS(Products!$A$6:$A$105,D452)&lt;&gt;1,NOT(ISNUMBER(E452)),E452=0,AND(C452&lt;&gt;"Adjustment",E452&lt;0)),"Check inputs",IF(AND(C452="Sale",OR(NOT(ISNUMBER(F452)),NOT(ISNUMBER(G452)),NOT(ISNUMBER(H452)),F452&lt;0,G452&lt;0,H452&lt;0,G452&gt;E452*F452)),"Check sale amounts","OK")))</x:f>
      </x:c>
      <x:c r="K452" s="38" t="str">
        <x:f>IF(J452="","",IF(J452&lt;&gt;"OK","Fix row",IF(C452="Sale",E452*F452-G452,0)))</x:f>
      </x:c>
      <x:c r="L452" s="38" t="str">
        <x:f>IF(J452="","",IF(J452&lt;&gt;"OK","Fix row",IF(C452="Sale",K452-E452*H452,0)))</x:f>
      </x:c>
    </x:row>
    <x:row r="453" ht="27" customHeight="1">
      <x:c r="A453" s="40"/>
      <x:c r="B453" s="41"/>
      <x:c r="C453" s="41"/>
      <x:c r="D453" s="41"/>
      <x:c r="E453" s="41"/>
      <x:c r="F453" s="42"/>
      <x:c r="G453" s="42"/>
      <x:c r="H453" s="42"/>
      <x:c r="I453" s="41"/>
      <x:c r="J453" s="34" t="str">
        <x:f>IF(COUNTA(A453:I453)=0,"",IF(OR(NOT(ISNUMBER(A453)),B453="",AND(C453&lt;&gt;"Sale",C453&lt;&gt;"Purchase",C453&lt;&gt;"Adjustment"),COUNTIFS(Products!$A$6:$A$105,D453)&lt;&gt;1,NOT(ISNUMBER(E453)),E453=0,AND(C453&lt;&gt;"Adjustment",E453&lt;0)),"Check inputs",IF(AND(C453="Sale",OR(NOT(ISNUMBER(F453)),NOT(ISNUMBER(G453)),NOT(ISNUMBER(H453)),F453&lt;0,G453&lt;0,H453&lt;0,G453&gt;E453*F453)),"Check sale amounts","OK")))</x:f>
      </x:c>
      <x:c r="K453" s="35" t="str">
        <x:f>IF(J453="","",IF(J453&lt;&gt;"OK","Fix row",IF(C453="Sale",E453*F453-G453,0)))</x:f>
      </x:c>
      <x:c r="L453" s="35" t="str">
        <x:f>IF(J453="","",IF(J453&lt;&gt;"OK","Fix row",IF(C453="Sale",K453-E453*H453,0)))</x:f>
      </x:c>
    </x:row>
    <x:row r="454" ht="27" customHeight="1">
      <x:c r="A454" s="40"/>
      <x:c r="B454" s="41"/>
      <x:c r="C454" s="41"/>
      <x:c r="D454" s="41"/>
      <x:c r="E454" s="41"/>
      <x:c r="F454" s="42"/>
      <x:c r="G454" s="42"/>
      <x:c r="H454" s="42"/>
      <x:c r="I454" s="41"/>
      <x:c r="J454" s="37" t="str">
        <x:f>IF(COUNTA(A454:I454)=0,"",IF(OR(NOT(ISNUMBER(A454)),B454="",AND(C454&lt;&gt;"Sale",C454&lt;&gt;"Purchase",C454&lt;&gt;"Adjustment"),COUNTIFS(Products!$A$6:$A$105,D454)&lt;&gt;1,NOT(ISNUMBER(E454)),E454=0,AND(C454&lt;&gt;"Adjustment",E454&lt;0)),"Check inputs",IF(AND(C454="Sale",OR(NOT(ISNUMBER(F454)),NOT(ISNUMBER(G454)),NOT(ISNUMBER(H454)),F454&lt;0,G454&lt;0,H454&lt;0,G454&gt;E454*F454)),"Check sale amounts","OK")))</x:f>
      </x:c>
      <x:c r="K454" s="38" t="str">
        <x:f>IF(J454="","",IF(J454&lt;&gt;"OK","Fix row",IF(C454="Sale",E454*F454-G454,0)))</x:f>
      </x:c>
      <x:c r="L454" s="38" t="str">
        <x:f>IF(J454="","",IF(J454&lt;&gt;"OK","Fix row",IF(C454="Sale",K454-E454*H454,0)))</x:f>
      </x:c>
    </x:row>
    <x:row r="455" ht="27" customHeight="1">
      <x:c r="A455" s="40"/>
      <x:c r="B455" s="41"/>
      <x:c r="C455" s="41"/>
      <x:c r="D455" s="41"/>
      <x:c r="E455" s="41"/>
      <x:c r="F455" s="42"/>
      <x:c r="G455" s="42"/>
      <x:c r="H455" s="42"/>
      <x:c r="I455" s="41"/>
      <x:c r="J455" s="34" t="str">
        <x:f>IF(COUNTA(A455:I455)=0,"",IF(OR(NOT(ISNUMBER(A455)),B455="",AND(C455&lt;&gt;"Sale",C455&lt;&gt;"Purchase",C455&lt;&gt;"Adjustment"),COUNTIFS(Products!$A$6:$A$105,D455)&lt;&gt;1,NOT(ISNUMBER(E455)),E455=0,AND(C455&lt;&gt;"Adjustment",E455&lt;0)),"Check inputs",IF(AND(C455="Sale",OR(NOT(ISNUMBER(F455)),NOT(ISNUMBER(G455)),NOT(ISNUMBER(H455)),F455&lt;0,G455&lt;0,H455&lt;0,G455&gt;E455*F455)),"Check sale amounts","OK")))</x:f>
      </x:c>
      <x:c r="K455" s="35" t="str">
        <x:f>IF(J455="","",IF(J455&lt;&gt;"OK","Fix row",IF(C455="Sale",E455*F455-G455,0)))</x:f>
      </x:c>
      <x:c r="L455" s="35" t="str">
        <x:f>IF(J455="","",IF(J455&lt;&gt;"OK","Fix row",IF(C455="Sale",K455-E455*H455,0)))</x:f>
      </x:c>
    </x:row>
    <x:row r="456" ht="27" customHeight="1">
      <x:c r="A456" s="40"/>
      <x:c r="B456" s="41"/>
      <x:c r="C456" s="41"/>
      <x:c r="D456" s="41"/>
      <x:c r="E456" s="41"/>
      <x:c r="F456" s="42"/>
      <x:c r="G456" s="42"/>
      <x:c r="H456" s="42"/>
      <x:c r="I456" s="41"/>
      <x:c r="J456" s="37" t="str">
        <x:f>IF(COUNTA(A456:I456)=0,"",IF(OR(NOT(ISNUMBER(A456)),B456="",AND(C456&lt;&gt;"Sale",C456&lt;&gt;"Purchase",C456&lt;&gt;"Adjustment"),COUNTIFS(Products!$A$6:$A$105,D456)&lt;&gt;1,NOT(ISNUMBER(E456)),E456=0,AND(C456&lt;&gt;"Adjustment",E456&lt;0)),"Check inputs",IF(AND(C456="Sale",OR(NOT(ISNUMBER(F456)),NOT(ISNUMBER(G456)),NOT(ISNUMBER(H456)),F456&lt;0,G456&lt;0,H456&lt;0,G456&gt;E456*F456)),"Check sale amounts","OK")))</x:f>
      </x:c>
      <x:c r="K456" s="38" t="str">
        <x:f>IF(J456="","",IF(J456&lt;&gt;"OK","Fix row",IF(C456="Sale",E456*F456-G456,0)))</x:f>
      </x:c>
      <x:c r="L456" s="38" t="str">
        <x:f>IF(J456="","",IF(J456&lt;&gt;"OK","Fix row",IF(C456="Sale",K456-E456*H456,0)))</x:f>
      </x:c>
    </x:row>
    <x:row r="457" ht="27" customHeight="1">
      <x:c r="A457" s="40"/>
      <x:c r="B457" s="41"/>
      <x:c r="C457" s="41"/>
      <x:c r="D457" s="41"/>
      <x:c r="E457" s="41"/>
      <x:c r="F457" s="42"/>
      <x:c r="G457" s="42"/>
      <x:c r="H457" s="42"/>
      <x:c r="I457" s="41"/>
      <x:c r="J457" s="34" t="str">
        <x:f>IF(COUNTA(A457:I457)=0,"",IF(OR(NOT(ISNUMBER(A457)),B457="",AND(C457&lt;&gt;"Sale",C457&lt;&gt;"Purchase",C457&lt;&gt;"Adjustment"),COUNTIFS(Products!$A$6:$A$105,D457)&lt;&gt;1,NOT(ISNUMBER(E457)),E457=0,AND(C457&lt;&gt;"Adjustment",E457&lt;0)),"Check inputs",IF(AND(C457="Sale",OR(NOT(ISNUMBER(F457)),NOT(ISNUMBER(G457)),NOT(ISNUMBER(H457)),F457&lt;0,G457&lt;0,H457&lt;0,G457&gt;E457*F457)),"Check sale amounts","OK")))</x:f>
      </x:c>
      <x:c r="K457" s="35" t="str">
        <x:f>IF(J457="","",IF(J457&lt;&gt;"OK","Fix row",IF(C457="Sale",E457*F457-G457,0)))</x:f>
      </x:c>
      <x:c r="L457" s="35" t="str">
        <x:f>IF(J457="","",IF(J457&lt;&gt;"OK","Fix row",IF(C457="Sale",K457-E457*H457,0)))</x:f>
      </x:c>
    </x:row>
    <x:row r="458" ht="27" customHeight="1">
      <x:c r="A458" s="40"/>
      <x:c r="B458" s="41"/>
      <x:c r="C458" s="41"/>
      <x:c r="D458" s="41"/>
      <x:c r="E458" s="41"/>
      <x:c r="F458" s="42"/>
      <x:c r="G458" s="42"/>
      <x:c r="H458" s="42"/>
      <x:c r="I458" s="41"/>
      <x:c r="J458" s="37" t="str">
        <x:f>IF(COUNTA(A458:I458)=0,"",IF(OR(NOT(ISNUMBER(A458)),B458="",AND(C458&lt;&gt;"Sale",C458&lt;&gt;"Purchase",C458&lt;&gt;"Adjustment"),COUNTIFS(Products!$A$6:$A$105,D458)&lt;&gt;1,NOT(ISNUMBER(E458)),E458=0,AND(C458&lt;&gt;"Adjustment",E458&lt;0)),"Check inputs",IF(AND(C458="Sale",OR(NOT(ISNUMBER(F458)),NOT(ISNUMBER(G458)),NOT(ISNUMBER(H458)),F458&lt;0,G458&lt;0,H458&lt;0,G458&gt;E458*F458)),"Check sale amounts","OK")))</x:f>
      </x:c>
      <x:c r="K458" s="38" t="str">
        <x:f>IF(J458="","",IF(J458&lt;&gt;"OK","Fix row",IF(C458="Sale",E458*F458-G458,0)))</x:f>
      </x:c>
      <x:c r="L458" s="38" t="str">
        <x:f>IF(J458="","",IF(J458&lt;&gt;"OK","Fix row",IF(C458="Sale",K458-E458*H458,0)))</x:f>
      </x:c>
    </x:row>
    <x:row r="459" ht="27" customHeight="1">
      <x:c r="A459" s="40"/>
      <x:c r="B459" s="41"/>
      <x:c r="C459" s="41"/>
      <x:c r="D459" s="41"/>
      <x:c r="E459" s="41"/>
      <x:c r="F459" s="42"/>
      <x:c r="G459" s="42"/>
      <x:c r="H459" s="42"/>
      <x:c r="I459" s="41"/>
      <x:c r="J459" s="34" t="str">
        <x:f>IF(COUNTA(A459:I459)=0,"",IF(OR(NOT(ISNUMBER(A459)),B459="",AND(C459&lt;&gt;"Sale",C459&lt;&gt;"Purchase",C459&lt;&gt;"Adjustment"),COUNTIFS(Products!$A$6:$A$105,D459)&lt;&gt;1,NOT(ISNUMBER(E459)),E459=0,AND(C459&lt;&gt;"Adjustment",E459&lt;0)),"Check inputs",IF(AND(C459="Sale",OR(NOT(ISNUMBER(F459)),NOT(ISNUMBER(G459)),NOT(ISNUMBER(H459)),F459&lt;0,G459&lt;0,H459&lt;0,G459&gt;E459*F459)),"Check sale amounts","OK")))</x:f>
      </x:c>
      <x:c r="K459" s="35" t="str">
        <x:f>IF(J459="","",IF(J459&lt;&gt;"OK","Fix row",IF(C459="Sale",E459*F459-G459,0)))</x:f>
      </x:c>
      <x:c r="L459" s="35" t="str">
        <x:f>IF(J459="","",IF(J459&lt;&gt;"OK","Fix row",IF(C459="Sale",K459-E459*H459,0)))</x:f>
      </x:c>
    </x:row>
    <x:row r="460" ht="27" customHeight="1">
      <x:c r="A460" s="40"/>
      <x:c r="B460" s="41"/>
      <x:c r="C460" s="41"/>
      <x:c r="D460" s="41"/>
      <x:c r="E460" s="41"/>
      <x:c r="F460" s="42"/>
      <x:c r="G460" s="42"/>
      <x:c r="H460" s="42"/>
      <x:c r="I460" s="41"/>
      <x:c r="J460" s="37" t="str">
        <x:f>IF(COUNTA(A460:I460)=0,"",IF(OR(NOT(ISNUMBER(A460)),B460="",AND(C460&lt;&gt;"Sale",C460&lt;&gt;"Purchase",C460&lt;&gt;"Adjustment"),COUNTIFS(Products!$A$6:$A$105,D460)&lt;&gt;1,NOT(ISNUMBER(E460)),E460=0,AND(C460&lt;&gt;"Adjustment",E460&lt;0)),"Check inputs",IF(AND(C460="Sale",OR(NOT(ISNUMBER(F460)),NOT(ISNUMBER(G460)),NOT(ISNUMBER(H460)),F460&lt;0,G460&lt;0,H460&lt;0,G460&gt;E460*F460)),"Check sale amounts","OK")))</x:f>
      </x:c>
      <x:c r="K460" s="38" t="str">
        <x:f>IF(J460="","",IF(J460&lt;&gt;"OK","Fix row",IF(C460="Sale",E460*F460-G460,0)))</x:f>
      </x:c>
      <x:c r="L460" s="38" t="str">
        <x:f>IF(J460="","",IF(J460&lt;&gt;"OK","Fix row",IF(C460="Sale",K460-E460*H460,0)))</x:f>
      </x:c>
    </x:row>
    <x:row r="461" ht="27" customHeight="1">
      <x:c r="A461" s="40"/>
      <x:c r="B461" s="41"/>
      <x:c r="C461" s="41"/>
      <x:c r="D461" s="41"/>
      <x:c r="E461" s="41"/>
      <x:c r="F461" s="42"/>
      <x:c r="G461" s="42"/>
      <x:c r="H461" s="42"/>
      <x:c r="I461" s="41"/>
      <x:c r="J461" s="34" t="str">
        <x:f>IF(COUNTA(A461:I461)=0,"",IF(OR(NOT(ISNUMBER(A461)),B461="",AND(C461&lt;&gt;"Sale",C461&lt;&gt;"Purchase",C461&lt;&gt;"Adjustment"),COUNTIFS(Products!$A$6:$A$105,D461)&lt;&gt;1,NOT(ISNUMBER(E461)),E461=0,AND(C461&lt;&gt;"Adjustment",E461&lt;0)),"Check inputs",IF(AND(C461="Sale",OR(NOT(ISNUMBER(F461)),NOT(ISNUMBER(G461)),NOT(ISNUMBER(H461)),F461&lt;0,G461&lt;0,H461&lt;0,G461&gt;E461*F461)),"Check sale amounts","OK")))</x:f>
      </x:c>
      <x:c r="K461" s="35" t="str">
        <x:f>IF(J461="","",IF(J461&lt;&gt;"OK","Fix row",IF(C461="Sale",E461*F461-G461,0)))</x:f>
      </x:c>
      <x:c r="L461" s="35" t="str">
        <x:f>IF(J461="","",IF(J461&lt;&gt;"OK","Fix row",IF(C461="Sale",K461-E461*H461,0)))</x:f>
      </x:c>
    </x:row>
    <x:row r="462" ht="27" customHeight="1">
      <x:c r="A462" s="40"/>
      <x:c r="B462" s="41"/>
      <x:c r="C462" s="41"/>
      <x:c r="D462" s="41"/>
      <x:c r="E462" s="41"/>
      <x:c r="F462" s="42"/>
      <x:c r="G462" s="42"/>
      <x:c r="H462" s="42"/>
      <x:c r="I462" s="41"/>
      <x:c r="J462" s="37" t="str">
        <x:f>IF(COUNTA(A462:I462)=0,"",IF(OR(NOT(ISNUMBER(A462)),B462="",AND(C462&lt;&gt;"Sale",C462&lt;&gt;"Purchase",C462&lt;&gt;"Adjustment"),COUNTIFS(Products!$A$6:$A$105,D462)&lt;&gt;1,NOT(ISNUMBER(E462)),E462=0,AND(C462&lt;&gt;"Adjustment",E462&lt;0)),"Check inputs",IF(AND(C462="Sale",OR(NOT(ISNUMBER(F462)),NOT(ISNUMBER(G462)),NOT(ISNUMBER(H462)),F462&lt;0,G462&lt;0,H462&lt;0,G462&gt;E462*F462)),"Check sale amounts","OK")))</x:f>
      </x:c>
      <x:c r="K462" s="38" t="str">
        <x:f>IF(J462="","",IF(J462&lt;&gt;"OK","Fix row",IF(C462="Sale",E462*F462-G462,0)))</x:f>
      </x:c>
      <x:c r="L462" s="38" t="str">
        <x:f>IF(J462="","",IF(J462&lt;&gt;"OK","Fix row",IF(C462="Sale",K462-E462*H462,0)))</x:f>
      </x:c>
    </x:row>
    <x:row r="463" ht="27" customHeight="1">
      <x:c r="A463" s="40"/>
      <x:c r="B463" s="41"/>
      <x:c r="C463" s="41"/>
      <x:c r="D463" s="41"/>
      <x:c r="E463" s="41"/>
      <x:c r="F463" s="42"/>
      <x:c r="G463" s="42"/>
      <x:c r="H463" s="42"/>
      <x:c r="I463" s="41"/>
      <x:c r="J463" s="34" t="str">
        <x:f>IF(COUNTA(A463:I463)=0,"",IF(OR(NOT(ISNUMBER(A463)),B463="",AND(C463&lt;&gt;"Sale",C463&lt;&gt;"Purchase",C463&lt;&gt;"Adjustment"),COUNTIFS(Products!$A$6:$A$105,D463)&lt;&gt;1,NOT(ISNUMBER(E463)),E463=0,AND(C463&lt;&gt;"Adjustment",E463&lt;0)),"Check inputs",IF(AND(C463="Sale",OR(NOT(ISNUMBER(F463)),NOT(ISNUMBER(G463)),NOT(ISNUMBER(H463)),F463&lt;0,G463&lt;0,H463&lt;0,G463&gt;E463*F463)),"Check sale amounts","OK")))</x:f>
      </x:c>
      <x:c r="K463" s="35" t="str">
        <x:f>IF(J463="","",IF(J463&lt;&gt;"OK","Fix row",IF(C463="Sale",E463*F463-G463,0)))</x:f>
      </x:c>
      <x:c r="L463" s="35" t="str">
        <x:f>IF(J463="","",IF(J463&lt;&gt;"OK","Fix row",IF(C463="Sale",K463-E463*H463,0)))</x:f>
      </x:c>
    </x:row>
    <x:row r="464" ht="27" customHeight="1">
      <x:c r="A464" s="40"/>
      <x:c r="B464" s="41"/>
      <x:c r="C464" s="41"/>
      <x:c r="D464" s="41"/>
      <x:c r="E464" s="41"/>
      <x:c r="F464" s="42"/>
      <x:c r="G464" s="42"/>
      <x:c r="H464" s="42"/>
      <x:c r="I464" s="41"/>
      <x:c r="J464" s="37" t="str">
        <x:f>IF(COUNTA(A464:I464)=0,"",IF(OR(NOT(ISNUMBER(A464)),B464="",AND(C464&lt;&gt;"Sale",C464&lt;&gt;"Purchase",C464&lt;&gt;"Adjustment"),COUNTIFS(Products!$A$6:$A$105,D464)&lt;&gt;1,NOT(ISNUMBER(E464)),E464=0,AND(C464&lt;&gt;"Adjustment",E464&lt;0)),"Check inputs",IF(AND(C464="Sale",OR(NOT(ISNUMBER(F464)),NOT(ISNUMBER(G464)),NOT(ISNUMBER(H464)),F464&lt;0,G464&lt;0,H464&lt;0,G464&gt;E464*F464)),"Check sale amounts","OK")))</x:f>
      </x:c>
      <x:c r="K464" s="38" t="str">
        <x:f>IF(J464="","",IF(J464&lt;&gt;"OK","Fix row",IF(C464="Sale",E464*F464-G464,0)))</x:f>
      </x:c>
      <x:c r="L464" s="38" t="str">
        <x:f>IF(J464="","",IF(J464&lt;&gt;"OK","Fix row",IF(C464="Sale",K464-E464*H464,0)))</x:f>
      </x:c>
    </x:row>
    <x:row r="465" ht="27" customHeight="1">
      <x:c r="A465" s="40"/>
      <x:c r="B465" s="41"/>
      <x:c r="C465" s="41"/>
      <x:c r="D465" s="41"/>
      <x:c r="E465" s="41"/>
      <x:c r="F465" s="42"/>
      <x:c r="G465" s="42"/>
      <x:c r="H465" s="42"/>
      <x:c r="I465" s="41"/>
      <x:c r="J465" s="34" t="str">
        <x:f>IF(COUNTA(A465:I465)=0,"",IF(OR(NOT(ISNUMBER(A465)),B465="",AND(C465&lt;&gt;"Sale",C465&lt;&gt;"Purchase",C465&lt;&gt;"Adjustment"),COUNTIFS(Products!$A$6:$A$105,D465)&lt;&gt;1,NOT(ISNUMBER(E465)),E465=0,AND(C465&lt;&gt;"Adjustment",E465&lt;0)),"Check inputs",IF(AND(C465="Sale",OR(NOT(ISNUMBER(F465)),NOT(ISNUMBER(G465)),NOT(ISNUMBER(H465)),F465&lt;0,G465&lt;0,H465&lt;0,G465&gt;E465*F465)),"Check sale amounts","OK")))</x:f>
      </x:c>
      <x:c r="K465" s="35" t="str">
        <x:f>IF(J465="","",IF(J465&lt;&gt;"OK","Fix row",IF(C465="Sale",E465*F465-G465,0)))</x:f>
      </x:c>
      <x:c r="L465" s="35" t="str">
        <x:f>IF(J465="","",IF(J465&lt;&gt;"OK","Fix row",IF(C465="Sale",K465-E465*H465,0)))</x:f>
      </x:c>
    </x:row>
    <x:row r="466" ht="27" customHeight="1">
      <x:c r="A466" s="40"/>
      <x:c r="B466" s="41"/>
      <x:c r="C466" s="41"/>
      <x:c r="D466" s="41"/>
      <x:c r="E466" s="41"/>
      <x:c r="F466" s="42"/>
      <x:c r="G466" s="42"/>
      <x:c r="H466" s="42"/>
      <x:c r="I466" s="41"/>
      <x:c r="J466" s="37" t="str">
        <x:f>IF(COUNTA(A466:I466)=0,"",IF(OR(NOT(ISNUMBER(A466)),B466="",AND(C466&lt;&gt;"Sale",C466&lt;&gt;"Purchase",C466&lt;&gt;"Adjustment"),COUNTIFS(Products!$A$6:$A$105,D466)&lt;&gt;1,NOT(ISNUMBER(E466)),E466=0,AND(C466&lt;&gt;"Adjustment",E466&lt;0)),"Check inputs",IF(AND(C466="Sale",OR(NOT(ISNUMBER(F466)),NOT(ISNUMBER(G466)),NOT(ISNUMBER(H466)),F466&lt;0,G466&lt;0,H466&lt;0,G466&gt;E466*F466)),"Check sale amounts","OK")))</x:f>
      </x:c>
      <x:c r="K466" s="38" t="str">
        <x:f>IF(J466="","",IF(J466&lt;&gt;"OK","Fix row",IF(C466="Sale",E466*F466-G466,0)))</x:f>
      </x:c>
      <x:c r="L466" s="38" t="str">
        <x:f>IF(J466="","",IF(J466&lt;&gt;"OK","Fix row",IF(C466="Sale",K466-E466*H466,0)))</x:f>
      </x:c>
    </x:row>
    <x:row r="467" ht="27" customHeight="1">
      <x:c r="A467" s="40"/>
      <x:c r="B467" s="41"/>
      <x:c r="C467" s="41"/>
      <x:c r="D467" s="41"/>
      <x:c r="E467" s="41"/>
      <x:c r="F467" s="42"/>
      <x:c r="G467" s="42"/>
      <x:c r="H467" s="42"/>
      <x:c r="I467" s="41"/>
      <x:c r="J467" s="34" t="str">
        <x:f>IF(COUNTA(A467:I467)=0,"",IF(OR(NOT(ISNUMBER(A467)),B467="",AND(C467&lt;&gt;"Sale",C467&lt;&gt;"Purchase",C467&lt;&gt;"Adjustment"),COUNTIFS(Products!$A$6:$A$105,D467)&lt;&gt;1,NOT(ISNUMBER(E467)),E467=0,AND(C467&lt;&gt;"Adjustment",E467&lt;0)),"Check inputs",IF(AND(C467="Sale",OR(NOT(ISNUMBER(F467)),NOT(ISNUMBER(G467)),NOT(ISNUMBER(H467)),F467&lt;0,G467&lt;0,H467&lt;0,G467&gt;E467*F467)),"Check sale amounts","OK")))</x:f>
      </x:c>
      <x:c r="K467" s="35" t="str">
        <x:f>IF(J467="","",IF(J467&lt;&gt;"OK","Fix row",IF(C467="Sale",E467*F467-G467,0)))</x:f>
      </x:c>
      <x:c r="L467" s="35" t="str">
        <x:f>IF(J467="","",IF(J467&lt;&gt;"OK","Fix row",IF(C467="Sale",K467-E467*H467,0)))</x:f>
      </x:c>
    </x:row>
    <x:row r="468" ht="27" customHeight="1">
      <x:c r="A468" s="40"/>
      <x:c r="B468" s="41"/>
      <x:c r="C468" s="41"/>
      <x:c r="D468" s="41"/>
      <x:c r="E468" s="41"/>
      <x:c r="F468" s="42"/>
      <x:c r="G468" s="42"/>
      <x:c r="H468" s="42"/>
      <x:c r="I468" s="41"/>
      <x:c r="J468" s="37" t="str">
        <x:f>IF(COUNTA(A468:I468)=0,"",IF(OR(NOT(ISNUMBER(A468)),B468="",AND(C468&lt;&gt;"Sale",C468&lt;&gt;"Purchase",C468&lt;&gt;"Adjustment"),COUNTIFS(Products!$A$6:$A$105,D468)&lt;&gt;1,NOT(ISNUMBER(E468)),E468=0,AND(C468&lt;&gt;"Adjustment",E468&lt;0)),"Check inputs",IF(AND(C468="Sale",OR(NOT(ISNUMBER(F468)),NOT(ISNUMBER(G468)),NOT(ISNUMBER(H468)),F468&lt;0,G468&lt;0,H468&lt;0,G468&gt;E468*F468)),"Check sale amounts","OK")))</x:f>
      </x:c>
      <x:c r="K468" s="38" t="str">
        <x:f>IF(J468="","",IF(J468&lt;&gt;"OK","Fix row",IF(C468="Sale",E468*F468-G468,0)))</x:f>
      </x:c>
      <x:c r="L468" s="38" t="str">
        <x:f>IF(J468="","",IF(J468&lt;&gt;"OK","Fix row",IF(C468="Sale",K468-E468*H468,0)))</x:f>
      </x:c>
    </x:row>
    <x:row r="469" ht="27" customHeight="1">
      <x:c r="A469" s="40"/>
      <x:c r="B469" s="41"/>
      <x:c r="C469" s="41"/>
      <x:c r="D469" s="41"/>
      <x:c r="E469" s="41"/>
      <x:c r="F469" s="42"/>
      <x:c r="G469" s="42"/>
      <x:c r="H469" s="42"/>
      <x:c r="I469" s="41"/>
      <x:c r="J469" s="34" t="str">
        <x:f>IF(COUNTA(A469:I469)=0,"",IF(OR(NOT(ISNUMBER(A469)),B469="",AND(C469&lt;&gt;"Sale",C469&lt;&gt;"Purchase",C469&lt;&gt;"Adjustment"),COUNTIFS(Products!$A$6:$A$105,D469)&lt;&gt;1,NOT(ISNUMBER(E469)),E469=0,AND(C469&lt;&gt;"Adjustment",E469&lt;0)),"Check inputs",IF(AND(C469="Sale",OR(NOT(ISNUMBER(F469)),NOT(ISNUMBER(G469)),NOT(ISNUMBER(H469)),F469&lt;0,G469&lt;0,H469&lt;0,G469&gt;E469*F469)),"Check sale amounts","OK")))</x:f>
      </x:c>
      <x:c r="K469" s="35" t="str">
        <x:f>IF(J469="","",IF(J469&lt;&gt;"OK","Fix row",IF(C469="Sale",E469*F469-G469,0)))</x:f>
      </x:c>
      <x:c r="L469" s="35" t="str">
        <x:f>IF(J469="","",IF(J469&lt;&gt;"OK","Fix row",IF(C469="Sale",K469-E469*H469,0)))</x:f>
      </x:c>
    </x:row>
    <x:row r="470" ht="27" customHeight="1">
      <x:c r="A470" s="40"/>
      <x:c r="B470" s="41"/>
      <x:c r="C470" s="41"/>
      <x:c r="D470" s="41"/>
      <x:c r="E470" s="41"/>
      <x:c r="F470" s="42"/>
      <x:c r="G470" s="42"/>
      <x:c r="H470" s="42"/>
      <x:c r="I470" s="41"/>
      <x:c r="J470" s="37" t="str">
        <x:f>IF(COUNTA(A470:I470)=0,"",IF(OR(NOT(ISNUMBER(A470)),B470="",AND(C470&lt;&gt;"Sale",C470&lt;&gt;"Purchase",C470&lt;&gt;"Adjustment"),COUNTIFS(Products!$A$6:$A$105,D470)&lt;&gt;1,NOT(ISNUMBER(E470)),E470=0,AND(C470&lt;&gt;"Adjustment",E470&lt;0)),"Check inputs",IF(AND(C470="Sale",OR(NOT(ISNUMBER(F470)),NOT(ISNUMBER(G470)),NOT(ISNUMBER(H470)),F470&lt;0,G470&lt;0,H470&lt;0,G470&gt;E470*F470)),"Check sale amounts","OK")))</x:f>
      </x:c>
      <x:c r="K470" s="38" t="str">
        <x:f>IF(J470="","",IF(J470&lt;&gt;"OK","Fix row",IF(C470="Sale",E470*F470-G470,0)))</x:f>
      </x:c>
      <x:c r="L470" s="38" t="str">
        <x:f>IF(J470="","",IF(J470&lt;&gt;"OK","Fix row",IF(C470="Sale",K470-E470*H470,0)))</x:f>
      </x:c>
    </x:row>
    <x:row r="471" ht="27" customHeight="1">
      <x:c r="A471" s="40"/>
      <x:c r="B471" s="41"/>
      <x:c r="C471" s="41"/>
      <x:c r="D471" s="41"/>
      <x:c r="E471" s="41"/>
      <x:c r="F471" s="42"/>
      <x:c r="G471" s="42"/>
      <x:c r="H471" s="42"/>
      <x:c r="I471" s="41"/>
      <x:c r="J471" s="34" t="str">
        <x:f>IF(COUNTA(A471:I471)=0,"",IF(OR(NOT(ISNUMBER(A471)),B471="",AND(C471&lt;&gt;"Sale",C471&lt;&gt;"Purchase",C471&lt;&gt;"Adjustment"),COUNTIFS(Products!$A$6:$A$105,D471)&lt;&gt;1,NOT(ISNUMBER(E471)),E471=0,AND(C471&lt;&gt;"Adjustment",E471&lt;0)),"Check inputs",IF(AND(C471="Sale",OR(NOT(ISNUMBER(F471)),NOT(ISNUMBER(G471)),NOT(ISNUMBER(H471)),F471&lt;0,G471&lt;0,H471&lt;0,G471&gt;E471*F471)),"Check sale amounts","OK")))</x:f>
      </x:c>
      <x:c r="K471" s="35" t="str">
        <x:f>IF(J471="","",IF(J471&lt;&gt;"OK","Fix row",IF(C471="Sale",E471*F471-G471,0)))</x:f>
      </x:c>
      <x:c r="L471" s="35" t="str">
        <x:f>IF(J471="","",IF(J471&lt;&gt;"OK","Fix row",IF(C471="Sale",K471-E471*H471,0)))</x:f>
      </x:c>
    </x:row>
    <x:row r="472" ht="27" customHeight="1">
      <x:c r="A472" s="40"/>
      <x:c r="B472" s="41"/>
      <x:c r="C472" s="41"/>
      <x:c r="D472" s="41"/>
      <x:c r="E472" s="41"/>
      <x:c r="F472" s="42"/>
      <x:c r="G472" s="42"/>
      <x:c r="H472" s="42"/>
      <x:c r="I472" s="41"/>
      <x:c r="J472" s="37" t="str">
        <x:f>IF(COUNTA(A472:I472)=0,"",IF(OR(NOT(ISNUMBER(A472)),B472="",AND(C472&lt;&gt;"Sale",C472&lt;&gt;"Purchase",C472&lt;&gt;"Adjustment"),COUNTIFS(Products!$A$6:$A$105,D472)&lt;&gt;1,NOT(ISNUMBER(E472)),E472=0,AND(C472&lt;&gt;"Adjustment",E472&lt;0)),"Check inputs",IF(AND(C472="Sale",OR(NOT(ISNUMBER(F472)),NOT(ISNUMBER(G472)),NOT(ISNUMBER(H472)),F472&lt;0,G472&lt;0,H472&lt;0,G472&gt;E472*F472)),"Check sale amounts","OK")))</x:f>
      </x:c>
      <x:c r="K472" s="38" t="str">
        <x:f>IF(J472="","",IF(J472&lt;&gt;"OK","Fix row",IF(C472="Sale",E472*F472-G472,0)))</x:f>
      </x:c>
      <x:c r="L472" s="38" t="str">
        <x:f>IF(J472="","",IF(J472&lt;&gt;"OK","Fix row",IF(C472="Sale",K472-E472*H472,0)))</x:f>
      </x:c>
    </x:row>
    <x:row r="473" ht="27" customHeight="1">
      <x:c r="A473" s="40"/>
      <x:c r="B473" s="41"/>
      <x:c r="C473" s="41"/>
      <x:c r="D473" s="41"/>
      <x:c r="E473" s="41"/>
      <x:c r="F473" s="42"/>
      <x:c r="G473" s="42"/>
      <x:c r="H473" s="42"/>
      <x:c r="I473" s="41"/>
      <x:c r="J473" s="34" t="str">
        <x:f>IF(COUNTA(A473:I473)=0,"",IF(OR(NOT(ISNUMBER(A473)),B473="",AND(C473&lt;&gt;"Sale",C473&lt;&gt;"Purchase",C473&lt;&gt;"Adjustment"),COUNTIFS(Products!$A$6:$A$105,D473)&lt;&gt;1,NOT(ISNUMBER(E473)),E473=0,AND(C473&lt;&gt;"Adjustment",E473&lt;0)),"Check inputs",IF(AND(C473="Sale",OR(NOT(ISNUMBER(F473)),NOT(ISNUMBER(G473)),NOT(ISNUMBER(H473)),F473&lt;0,G473&lt;0,H473&lt;0,G473&gt;E473*F473)),"Check sale amounts","OK")))</x:f>
      </x:c>
      <x:c r="K473" s="35" t="str">
        <x:f>IF(J473="","",IF(J473&lt;&gt;"OK","Fix row",IF(C473="Sale",E473*F473-G473,0)))</x:f>
      </x:c>
      <x:c r="L473" s="35" t="str">
        <x:f>IF(J473="","",IF(J473&lt;&gt;"OK","Fix row",IF(C473="Sale",K473-E473*H473,0)))</x:f>
      </x:c>
    </x:row>
    <x:row r="474" ht="27" customHeight="1">
      <x:c r="A474" s="40"/>
      <x:c r="B474" s="41"/>
      <x:c r="C474" s="41"/>
      <x:c r="D474" s="41"/>
      <x:c r="E474" s="41"/>
      <x:c r="F474" s="42"/>
      <x:c r="G474" s="42"/>
      <x:c r="H474" s="42"/>
      <x:c r="I474" s="41"/>
      <x:c r="J474" s="37" t="str">
        <x:f>IF(COUNTA(A474:I474)=0,"",IF(OR(NOT(ISNUMBER(A474)),B474="",AND(C474&lt;&gt;"Sale",C474&lt;&gt;"Purchase",C474&lt;&gt;"Adjustment"),COUNTIFS(Products!$A$6:$A$105,D474)&lt;&gt;1,NOT(ISNUMBER(E474)),E474=0,AND(C474&lt;&gt;"Adjustment",E474&lt;0)),"Check inputs",IF(AND(C474="Sale",OR(NOT(ISNUMBER(F474)),NOT(ISNUMBER(G474)),NOT(ISNUMBER(H474)),F474&lt;0,G474&lt;0,H474&lt;0,G474&gt;E474*F474)),"Check sale amounts","OK")))</x:f>
      </x:c>
      <x:c r="K474" s="38" t="str">
        <x:f>IF(J474="","",IF(J474&lt;&gt;"OK","Fix row",IF(C474="Sale",E474*F474-G474,0)))</x:f>
      </x:c>
      <x:c r="L474" s="38" t="str">
        <x:f>IF(J474="","",IF(J474&lt;&gt;"OK","Fix row",IF(C474="Sale",K474-E474*H474,0)))</x:f>
      </x:c>
    </x:row>
    <x:row r="475" ht="27" customHeight="1">
      <x:c r="A475" s="40"/>
      <x:c r="B475" s="41"/>
      <x:c r="C475" s="41"/>
      <x:c r="D475" s="41"/>
      <x:c r="E475" s="41"/>
      <x:c r="F475" s="42"/>
      <x:c r="G475" s="42"/>
      <x:c r="H475" s="42"/>
      <x:c r="I475" s="41"/>
      <x:c r="J475" s="34" t="str">
        <x:f>IF(COUNTA(A475:I475)=0,"",IF(OR(NOT(ISNUMBER(A475)),B475="",AND(C475&lt;&gt;"Sale",C475&lt;&gt;"Purchase",C475&lt;&gt;"Adjustment"),COUNTIFS(Products!$A$6:$A$105,D475)&lt;&gt;1,NOT(ISNUMBER(E475)),E475=0,AND(C475&lt;&gt;"Adjustment",E475&lt;0)),"Check inputs",IF(AND(C475="Sale",OR(NOT(ISNUMBER(F475)),NOT(ISNUMBER(G475)),NOT(ISNUMBER(H475)),F475&lt;0,G475&lt;0,H475&lt;0,G475&gt;E475*F475)),"Check sale amounts","OK")))</x:f>
      </x:c>
      <x:c r="K475" s="35" t="str">
        <x:f>IF(J475="","",IF(J475&lt;&gt;"OK","Fix row",IF(C475="Sale",E475*F475-G475,0)))</x:f>
      </x:c>
      <x:c r="L475" s="35" t="str">
        <x:f>IF(J475="","",IF(J475&lt;&gt;"OK","Fix row",IF(C475="Sale",K475-E475*H475,0)))</x:f>
      </x:c>
    </x:row>
    <x:row r="476" ht="27" customHeight="1">
      <x:c r="A476" s="40"/>
      <x:c r="B476" s="41"/>
      <x:c r="C476" s="41"/>
      <x:c r="D476" s="41"/>
      <x:c r="E476" s="41"/>
      <x:c r="F476" s="42"/>
      <x:c r="G476" s="42"/>
      <x:c r="H476" s="42"/>
      <x:c r="I476" s="41"/>
      <x:c r="J476" s="37" t="str">
        <x:f>IF(COUNTA(A476:I476)=0,"",IF(OR(NOT(ISNUMBER(A476)),B476="",AND(C476&lt;&gt;"Sale",C476&lt;&gt;"Purchase",C476&lt;&gt;"Adjustment"),COUNTIFS(Products!$A$6:$A$105,D476)&lt;&gt;1,NOT(ISNUMBER(E476)),E476=0,AND(C476&lt;&gt;"Adjustment",E476&lt;0)),"Check inputs",IF(AND(C476="Sale",OR(NOT(ISNUMBER(F476)),NOT(ISNUMBER(G476)),NOT(ISNUMBER(H476)),F476&lt;0,G476&lt;0,H476&lt;0,G476&gt;E476*F476)),"Check sale amounts","OK")))</x:f>
      </x:c>
      <x:c r="K476" s="38" t="str">
        <x:f>IF(J476="","",IF(J476&lt;&gt;"OK","Fix row",IF(C476="Sale",E476*F476-G476,0)))</x:f>
      </x:c>
      <x:c r="L476" s="38" t="str">
        <x:f>IF(J476="","",IF(J476&lt;&gt;"OK","Fix row",IF(C476="Sale",K476-E476*H476,0)))</x:f>
      </x:c>
    </x:row>
    <x:row r="477" ht="27" customHeight="1">
      <x:c r="A477" s="40"/>
      <x:c r="B477" s="41"/>
      <x:c r="C477" s="41"/>
      <x:c r="D477" s="41"/>
      <x:c r="E477" s="41"/>
      <x:c r="F477" s="42"/>
      <x:c r="G477" s="42"/>
      <x:c r="H477" s="42"/>
      <x:c r="I477" s="41"/>
      <x:c r="J477" s="34" t="str">
        <x:f>IF(COUNTA(A477:I477)=0,"",IF(OR(NOT(ISNUMBER(A477)),B477="",AND(C477&lt;&gt;"Sale",C477&lt;&gt;"Purchase",C477&lt;&gt;"Adjustment"),COUNTIFS(Products!$A$6:$A$105,D477)&lt;&gt;1,NOT(ISNUMBER(E477)),E477=0,AND(C477&lt;&gt;"Adjustment",E477&lt;0)),"Check inputs",IF(AND(C477="Sale",OR(NOT(ISNUMBER(F477)),NOT(ISNUMBER(G477)),NOT(ISNUMBER(H477)),F477&lt;0,G477&lt;0,H477&lt;0,G477&gt;E477*F477)),"Check sale amounts","OK")))</x:f>
      </x:c>
      <x:c r="K477" s="35" t="str">
        <x:f>IF(J477="","",IF(J477&lt;&gt;"OK","Fix row",IF(C477="Sale",E477*F477-G477,0)))</x:f>
      </x:c>
      <x:c r="L477" s="35" t="str">
        <x:f>IF(J477="","",IF(J477&lt;&gt;"OK","Fix row",IF(C477="Sale",K477-E477*H477,0)))</x:f>
      </x:c>
    </x:row>
    <x:row r="478" ht="27" customHeight="1">
      <x:c r="A478" s="40"/>
      <x:c r="B478" s="41"/>
      <x:c r="C478" s="41"/>
      <x:c r="D478" s="41"/>
      <x:c r="E478" s="41"/>
      <x:c r="F478" s="42"/>
      <x:c r="G478" s="42"/>
      <x:c r="H478" s="42"/>
      <x:c r="I478" s="41"/>
      <x:c r="J478" s="37" t="str">
        <x:f>IF(COUNTA(A478:I478)=0,"",IF(OR(NOT(ISNUMBER(A478)),B478="",AND(C478&lt;&gt;"Sale",C478&lt;&gt;"Purchase",C478&lt;&gt;"Adjustment"),COUNTIFS(Products!$A$6:$A$105,D478)&lt;&gt;1,NOT(ISNUMBER(E478)),E478=0,AND(C478&lt;&gt;"Adjustment",E478&lt;0)),"Check inputs",IF(AND(C478="Sale",OR(NOT(ISNUMBER(F478)),NOT(ISNUMBER(G478)),NOT(ISNUMBER(H478)),F478&lt;0,G478&lt;0,H478&lt;0,G478&gt;E478*F478)),"Check sale amounts","OK")))</x:f>
      </x:c>
      <x:c r="K478" s="38" t="str">
        <x:f>IF(J478="","",IF(J478&lt;&gt;"OK","Fix row",IF(C478="Sale",E478*F478-G478,0)))</x:f>
      </x:c>
      <x:c r="L478" s="38" t="str">
        <x:f>IF(J478="","",IF(J478&lt;&gt;"OK","Fix row",IF(C478="Sale",K478-E478*H478,0)))</x:f>
      </x:c>
    </x:row>
    <x:row r="479" ht="27" customHeight="1">
      <x:c r="A479" s="40"/>
      <x:c r="B479" s="41"/>
      <x:c r="C479" s="41"/>
      <x:c r="D479" s="41"/>
      <x:c r="E479" s="41"/>
      <x:c r="F479" s="42"/>
      <x:c r="G479" s="42"/>
      <x:c r="H479" s="42"/>
      <x:c r="I479" s="41"/>
      <x:c r="J479" s="34" t="str">
        <x:f>IF(COUNTA(A479:I479)=0,"",IF(OR(NOT(ISNUMBER(A479)),B479="",AND(C479&lt;&gt;"Sale",C479&lt;&gt;"Purchase",C479&lt;&gt;"Adjustment"),COUNTIFS(Products!$A$6:$A$105,D479)&lt;&gt;1,NOT(ISNUMBER(E479)),E479=0,AND(C479&lt;&gt;"Adjustment",E479&lt;0)),"Check inputs",IF(AND(C479="Sale",OR(NOT(ISNUMBER(F479)),NOT(ISNUMBER(G479)),NOT(ISNUMBER(H479)),F479&lt;0,G479&lt;0,H479&lt;0,G479&gt;E479*F479)),"Check sale amounts","OK")))</x:f>
      </x:c>
      <x:c r="K479" s="35" t="str">
        <x:f>IF(J479="","",IF(J479&lt;&gt;"OK","Fix row",IF(C479="Sale",E479*F479-G479,0)))</x:f>
      </x:c>
      <x:c r="L479" s="35" t="str">
        <x:f>IF(J479="","",IF(J479&lt;&gt;"OK","Fix row",IF(C479="Sale",K479-E479*H479,0)))</x:f>
      </x:c>
    </x:row>
    <x:row r="480" ht="27" customHeight="1">
      <x:c r="A480" s="40"/>
      <x:c r="B480" s="41"/>
      <x:c r="C480" s="41"/>
      <x:c r="D480" s="41"/>
      <x:c r="E480" s="41"/>
      <x:c r="F480" s="42"/>
      <x:c r="G480" s="42"/>
      <x:c r="H480" s="42"/>
      <x:c r="I480" s="41"/>
      <x:c r="J480" s="37" t="str">
        <x:f>IF(COUNTA(A480:I480)=0,"",IF(OR(NOT(ISNUMBER(A480)),B480="",AND(C480&lt;&gt;"Sale",C480&lt;&gt;"Purchase",C480&lt;&gt;"Adjustment"),COUNTIFS(Products!$A$6:$A$105,D480)&lt;&gt;1,NOT(ISNUMBER(E480)),E480=0,AND(C480&lt;&gt;"Adjustment",E480&lt;0)),"Check inputs",IF(AND(C480="Sale",OR(NOT(ISNUMBER(F480)),NOT(ISNUMBER(G480)),NOT(ISNUMBER(H480)),F480&lt;0,G480&lt;0,H480&lt;0,G480&gt;E480*F480)),"Check sale amounts","OK")))</x:f>
      </x:c>
      <x:c r="K480" s="38" t="str">
        <x:f>IF(J480="","",IF(J480&lt;&gt;"OK","Fix row",IF(C480="Sale",E480*F480-G480,0)))</x:f>
      </x:c>
      <x:c r="L480" s="38" t="str">
        <x:f>IF(J480="","",IF(J480&lt;&gt;"OK","Fix row",IF(C480="Sale",K480-E480*H480,0)))</x:f>
      </x:c>
    </x:row>
    <x:row r="481" ht="27" customHeight="1">
      <x:c r="A481" s="40"/>
      <x:c r="B481" s="41"/>
      <x:c r="C481" s="41"/>
      <x:c r="D481" s="41"/>
      <x:c r="E481" s="41"/>
      <x:c r="F481" s="42"/>
      <x:c r="G481" s="42"/>
      <x:c r="H481" s="42"/>
      <x:c r="I481" s="41"/>
      <x:c r="J481" s="34" t="str">
        <x:f>IF(COUNTA(A481:I481)=0,"",IF(OR(NOT(ISNUMBER(A481)),B481="",AND(C481&lt;&gt;"Sale",C481&lt;&gt;"Purchase",C481&lt;&gt;"Adjustment"),COUNTIFS(Products!$A$6:$A$105,D481)&lt;&gt;1,NOT(ISNUMBER(E481)),E481=0,AND(C481&lt;&gt;"Adjustment",E481&lt;0)),"Check inputs",IF(AND(C481="Sale",OR(NOT(ISNUMBER(F481)),NOT(ISNUMBER(G481)),NOT(ISNUMBER(H481)),F481&lt;0,G481&lt;0,H481&lt;0,G481&gt;E481*F481)),"Check sale amounts","OK")))</x:f>
      </x:c>
      <x:c r="K481" s="35" t="str">
        <x:f>IF(J481="","",IF(J481&lt;&gt;"OK","Fix row",IF(C481="Sale",E481*F481-G481,0)))</x:f>
      </x:c>
      <x:c r="L481" s="35" t="str">
        <x:f>IF(J481="","",IF(J481&lt;&gt;"OK","Fix row",IF(C481="Sale",K481-E481*H481,0)))</x:f>
      </x:c>
    </x:row>
    <x:row r="482" ht="27" customHeight="1">
      <x:c r="A482" s="40"/>
      <x:c r="B482" s="41"/>
      <x:c r="C482" s="41"/>
      <x:c r="D482" s="41"/>
      <x:c r="E482" s="41"/>
      <x:c r="F482" s="42"/>
      <x:c r="G482" s="42"/>
      <x:c r="H482" s="42"/>
      <x:c r="I482" s="41"/>
      <x:c r="J482" s="37" t="str">
        <x:f>IF(COUNTA(A482:I482)=0,"",IF(OR(NOT(ISNUMBER(A482)),B482="",AND(C482&lt;&gt;"Sale",C482&lt;&gt;"Purchase",C482&lt;&gt;"Adjustment"),COUNTIFS(Products!$A$6:$A$105,D482)&lt;&gt;1,NOT(ISNUMBER(E482)),E482=0,AND(C482&lt;&gt;"Adjustment",E482&lt;0)),"Check inputs",IF(AND(C482="Sale",OR(NOT(ISNUMBER(F482)),NOT(ISNUMBER(G482)),NOT(ISNUMBER(H482)),F482&lt;0,G482&lt;0,H482&lt;0,G482&gt;E482*F482)),"Check sale amounts","OK")))</x:f>
      </x:c>
      <x:c r="K482" s="38" t="str">
        <x:f>IF(J482="","",IF(J482&lt;&gt;"OK","Fix row",IF(C482="Sale",E482*F482-G482,0)))</x:f>
      </x:c>
      <x:c r="L482" s="38" t="str">
        <x:f>IF(J482="","",IF(J482&lt;&gt;"OK","Fix row",IF(C482="Sale",K482-E482*H482,0)))</x:f>
      </x:c>
    </x:row>
    <x:row r="483" ht="27" customHeight="1">
      <x:c r="A483" s="40"/>
      <x:c r="B483" s="41"/>
      <x:c r="C483" s="41"/>
      <x:c r="D483" s="41"/>
      <x:c r="E483" s="41"/>
      <x:c r="F483" s="42"/>
      <x:c r="G483" s="42"/>
      <x:c r="H483" s="42"/>
      <x:c r="I483" s="41"/>
      <x:c r="J483" s="34" t="str">
        <x:f>IF(COUNTA(A483:I483)=0,"",IF(OR(NOT(ISNUMBER(A483)),B483="",AND(C483&lt;&gt;"Sale",C483&lt;&gt;"Purchase",C483&lt;&gt;"Adjustment"),COUNTIFS(Products!$A$6:$A$105,D483)&lt;&gt;1,NOT(ISNUMBER(E483)),E483=0,AND(C483&lt;&gt;"Adjustment",E483&lt;0)),"Check inputs",IF(AND(C483="Sale",OR(NOT(ISNUMBER(F483)),NOT(ISNUMBER(G483)),NOT(ISNUMBER(H483)),F483&lt;0,G483&lt;0,H483&lt;0,G483&gt;E483*F483)),"Check sale amounts","OK")))</x:f>
      </x:c>
      <x:c r="K483" s="35" t="str">
        <x:f>IF(J483="","",IF(J483&lt;&gt;"OK","Fix row",IF(C483="Sale",E483*F483-G483,0)))</x:f>
      </x:c>
      <x:c r="L483" s="35" t="str">
        <x:f>IF(J483="","",IF(J483&lt;&gt;"OK","Fix row",IF(C483="Sale",K483-E483*H483,0)))</x:f>
      </x:c>
    </x:row>
    <x:row r="484" ht="27" customHeight="1">
      <x:c r="A484" s="40"/>
      <x:c r="B484" s="41"/>
      <x:c r="C484" s="41"/>
      <x:c r="D484" s="41"/>
      <x:c r="E484" s="41"/>
      <x:c r="F484" s="42"/>
      <x:c r="G484" s="42"/>
      <x:c r="H484" s="42"/>
      <x:c r="I484" s="41"/>
      <x:c r="J484" s="37" t="str">
        <x:f>IF(COUNTA(A484:I484)=0,"",IF(OR(NOT(ISNUMBER(A484)),B484="",AND(C484&lt;&gt;"Sale",C484&lt;&gt;"Purchase",C484&lt;&gt;"Adjustment"),COUNTIFS(Products!$A$6:$A$105,D484)&lt;&gt;1,NOT(ISNUMBER(E484)),E484=0,AND(C484&lt;&gt;"Adjustment",E484&lt;0)),"Check inputs",IF(AND(C484="Sale",OR(NOT(ISNUMBER(F484)),NOT(ISNUMBER(G484)),NOT(ISNUMBER(H484)),F484&lt;0,G484&lt;0,H484&lt;0,G484&gt;E484*F484)),"Check sale amounts","OK")))</x:f>
      </x:c>
      <x:c r="K484" s="38" t="str">
        <x:f>IF(J484="","",IF(J484&lt;&gt;"OK","Fix row",IF(C484="Sale",E484*F484-G484,0)))</x:f>
      </x:c>
      <x:c r="L484" s="38" t="str">
        <x:f>IF(J484="","",IF(J484&lt;&gt;"OK","Fix row",IF(C484="Sale",K484-E484*H484,0)))</x:f>
      </x:c>
    </x:row>
    <x:row r="485" ht="27" customHeight="1">
      <x:c r="A485" s="40"/>
      <x:c r="B485" s="41"/>
      <x:c r="C485" s="41"/>
      <x:c r="D485" s="41"/>
      <x:c r="E485" s="41"/>
      <x:c r="F485" s="42"/>
      <x:c r="G485" s="42"/>
      <x:c r="H485" s="42"/>
      <x:c r="I485" s="41"/>
      <x:c r="J485" s="34" t="str">
        <x:f>IF(COUNTA(A485:I485)=0,"",IF(OR(NOT(ISNUMBER(A485)),B485="",AND(C485&lt;&gt;"Sale",C485&lt;&gt;"Purchase",C485&lt;&gt;"Adjustment"),COUNTIFS(Products!$A$6:$A$105,D485)&lt;&gt;1,NOT(ISNUMBER(E485)),E485=0,AND(C485&lt;&gt;"Adjustment",E485&lt;0)),"Check inputs",IF(AND(C485="Sale",OR(NOT(ISNUMBER(F485)),NOT(ISNUMBER(G485)),NOT(ISNUMBER(H485)),F485&lt;0,G485&lt;0,H485&lt;0,G485&gt;E485*F485)),"Check sale amounts","OK")))</x:f>
      </x:c>
      <x:c r="K485" s="35" t="str">
        <x:f>IF(J485="","",IF(J485&lt;&gt;"OK","Fix row",IF(C485="Sale",E485*F485-G485,0)))</x:f>
      </x:c>
      <x:c r="L485" s="35" t="str">
        <x:f>IF(J485="","",IF(J485&lt;&gt;"OK","Fix row",IF(C485="Sale",K485-E485*H485,0)))</x:f>
      </x:c>
    </x:row>
    <x:row r="486" ht="27" customHeight="1">
      <x:c r="A486" s="40"/>
      <x:c r="B486" s="41"/>
      <x:c r="C486" s="41"/>
      <x:c r="D486" s="41"/>
      <x:c r="E486" s="41"/>
      <x:c r="F486" s="42"/>
      <x:c r="G486" s="42"/>
      <x:c r="H486" s="42"/>
      <x:c r="I486" s="41"/>
      <x:c r="J486" s="37" t="str">
        <x:f>IF(COUNTA(A486:I486)=0,"",IF(OR(NOT(ISNUMBER(A486)),B486="",AND(C486&lt;&gt;"Sale",C486&lt;&gt;"Purchase",C486&lt;&gt;"Adjustment"),COUNTIFS(Products!$A$6:$A$105,D486)&lt;&gt;1,NOT(ISNUMBER(E486)),E486=0,AND(C486&lt;&gt;"Adjustment",E486&lt;0)),"Check inputs",IF(AND(C486="Sale",OR(NOT(ISNUMBER(F486)),NOT(ISNUMBER(G486)),NOT(ISNUMBER(H486)),F486&lt;0,G486&lt;0,H486&lt;0,G486&gt;E486*F486)),"Check sale amounts","OK")))</x:f>
      </x:c>
      <x:c r="K486" s="38" t="str">
        <x:f>IF(J486="","",IF(J486&lt;&gt;"OK","Fix row",IF(C486="Sale",E486*F486-G486,0)))</x:f>
      </x:c>
      <x:c r="L486" s="38" t="str">
        <x:f>IF(J486="","",IF(J486&lt;&gt;"OK","Fix row",IF(C486="Sale",K486-E486*H486,0)))</x:f>
      </x:c>
    </x:row>
    <x:row r="487" ht="27" customHeight="1">
      <x:c r="A487" s="40"/>
      <x:c r="B487" s="41"/>
      <x:c r="C487" s="41"/>
      <x:c r="D487" s="41"/>
      <x:c r="E487" s="41"/>
      <x:c r="F487" s="42"/>
      <x:c r="G487" s="42"/>
      <x:c r="H487" s="42"/>
      <x:c r="I487" s="41"/>
      <x:c r="J487" s="34" t="str">
        <x:f>IF(COUNTA(A487:I487)=0,"",IF(OR(NOT(ISNUMBER(A487)),B487="",AND(C487&lt;&gt;"Sale",C487&lt;&gt;"Purchase",C487&lt;&gt;"Adjustment"),COUNTIFS(Products!$A$6:$A$105,D487)&lt;&gt;1,NOT(ISNUMBER(E487)),E487=0,AND(C487&lt;&gt;"Adjustment",E487&lt;0)),"Check inputs",IF(AND(C487="Sale",OR(NOT(ISNUMBER(F487)),NOT(ISNUMBER(G487)),NOT(ISNUMBER(H487)),F487&lt;0,G487&lt;0,H487&lt;0,G487&gt;E487*F487)),"Check sale amounts","OK")))</x:f>
      </x:c>
      <x:c r="K487" s="35" t="str">
        <x:f>IF(J487="","",IF(J487&lt;&gt;"OK","Fix row",IF(C487="Sale",E487*F487-G487,0)))</x:f>
      </x:c>
      <x:c r="L487" s="35" t="str">
        <x:f>IF(J487="","",IF(J487&lt;&gt;"OK","Fix row",IF(C487="Sale",K487-E487*H487,0)))</x:f>
      </x:c>
    </x:row>
    <x:row r="488" ht="27" customHeight="1">
      <x:c r="A488" s="40"/>
      <x:c r="B488" s="41"/>
      <x:c r="C488" s="41"/>
      <x:c r="D488" s="41"/>
      <x:c r="E488" s="41"/>
      <x:c r="F488" s="42"/>
      <x:c r="G488" s="42"/>
      <x:c r="H488" s="42"/>
      <x:c r="I488" s="41"/>
      <x:c r="J488" s="37" t="str">
        <x:f>IF(COUNTA(A488:I488)=0,"",IF(OR(NOT(ISNUMBER(A488)),B488="",AND(C488&lt;&gt;"Sale",C488&lt;&gt;"Purchase",C488&lt;&gt;"Adjustment"),COUNTIFS(Products!$A$6:$A$105,D488)&lt;&gt;1,NOT(ISNUMBER(E488)),E488=0,AND(C488&lt;&gt;"Adjustment",E488&lt;0)),"Check inputs",IF(AND(C488="Sale",OR(NOT(ISNUMBER(F488)),NOT(ISNUMBER(G488)),NOT(ISNUMBER(H488)),F488&lt;0,G488&lt;0,H488&lt;0,G488&gt;E488*F488)),"Check sale amounts","OK")))</x:f>
      </x:c>
      <x:c r="K488" s="38" t="str">
        <x:f>IF(J488="","",IF(J488&lt;&gt;"OK","Fix row",IF(C488="Sale",E488*F488-G488,0)))</x:f>
      </x:c>
      <x:c r="L488" s="38" t="str">
        <x:f>IF(J488="","",IF(J488&lt;&gt;"OK","Fix row",IF(C488="Sale",K488-E488*H488,0)))</x:f>
      </x:c>
    </x:row>
    <x:row r="489" ht="27" customHeight="1">
      <x:c r="A489" s="40"/>
      <x:c r="B489" s="41"/>
      <x:c r="C489" s="41"/>
      <x:c r="D489" s="41"/>
      <x:c r="E489" s="41"/>
      <x:c r="F489" s="42"/>
      <x:c r="G489" s="42"/>
      <x:c r="H489" s="42"/>
      <x:c r="I489" s="41"/>
      <x:c r="J489" s="34" t="str">
        <x:f>IF(COUNTA(A489:I489)=0,"",IF(OR(NOT(ISNUMBER(A489)),B489="",AND(C489&lt;&gt;"Sale",C489&lt;&gt;"Purchase",C489&lt;&gt;"Adjustment"),COUNTIFS(Products!$A$6:$A$105,D489)&lt;&gt;1,NOT(ISNUMBER(E489)),E489=0,AND(C489&lt;&gt;"Adjustment",E489&lt;0)),"Check inputs",IF(AND(C489="Sale",OR(NOT(ISNUMBER(F489)),NOT(ISNUMBER(G489)),NOT(ISNUMBER(H489)),F489&lt;0,G489&lt;0,H489&lt;0,G489&gt;E489*F489)),"Check sale amounts","OK")))</x:f>
      </x:c>
      <x:c r="K489" s="35" t="str">
        <x:f>IF(J489="","",IF(J489&lt;&gt;"OK","Fix row",IF(C489="Sale",E489*F489-G489,0)))</x:f>
      </x:c>
      <x:c r="L489" s="35" t="str">
        <x:f>IF(J489="","",IF(J489&lt;&gt;"OK","Fix row",IF(C489="Sale",K489-E489*H489,0)))</x:f>
      </x:c>
    </x:row>
    <x:row r="490" ht="27" customHeight="1">
      <x:c r="A490" s="40"/>
      <x:c r="B490" s="41"/>
      <x:c r="C490" s="41"/>
      <x:c r="D490" s="41"/>
      <x:c r="E490" s="41"/>
      <x:c r="F490" s="42"/>
      <x:c r="G490" s="42"/>
      <x:c r="H490" s="42"/>
      <x:c r="I490" s="41"/>
      <x:c r="J490" s="37" t="str">
        <x:f>IF(COUNTA(A490:I490)=0,"",IF(OR(NOT(ISNUMBER(A490)),B490="",AND(C490&lt;&gt;"Sale",C490&lt;&gt;"Purchase",C490&lt;&gt;"Adjustment"),COUNTIFS(Products!$A$6:$A$105,D490)&lt;&gt;1,NOT(ISNUMBER(E490)),E490=0,AND(C490&lt;&gt;"Adjustment",E490&lt;0)),"Check inputs",IF(AND(C490="Sale",OR(NOT(ISNUMBER(F490)),NOT(ISNUMBER(G490)),NOT(ISNUMBER(H490)),F490&lt;0,G490&lt;0,H490&lt;0,G490&gt;E490*F490)),"Check sale amounts","OK")))</x:f>
      </x:c>
      <x:c r="K490" s="38" t="str">
        <x:f>IF(J490="","",IF(J490&lt;&gt;"OK","Fix row",IF(C490="Sale",E490*F490-G490,0)))</x:f>
      </x:c>
      <x:c r="L490" s="38" t="str">
        <x:f>IF(J490="","",IF(J490&lt;&gt;"OK","Fix row",IF(C490="Sale",K490-E490*H490,0)))</x:f>
      </x:c>
    </x:row>
    <x:row r="491" ht="27" customHeight="1">
      <x:c r="A491" s="40"/>
      <x:c r="B491" s="41"/>
      <x:c r="C491" s="41"/>
      <x:c r="D491" s="41"/>
      <x:c r="E491" s="41"/>
      <x:c r="F491" s="42"/>
      <x:c r="G491" s="42"/>
      <x:c r="H491" s="42"/>
      <x:c r="I491" s="41"/>
      <x:c r="J491" s="34" t="str">
        <x:f>IF(COUNTA(A491:I491)=0,"",IF(OR(NOT(ISNUMBER(A491)),B491="",AND(C491&lt;&gt;"Sale",C491&lt;&gt;"Purchase",C491&lt;&gt;"Adjustment"),COUNTIFS(Products!$A$6:$A$105,D491)&lt;&gt;1,NOT(ISNUMBER(E491)),E491=0,AND(C491&lt;&gt;"Adjustment",E491&lt;0)),"Check inputs",IF(AND(C491="Sale",OR(NOT(ISNUMBER(F491)),NOT(ISNUMBER(G491)),NOT(ISNUMBER(H491)),F491&lt;0,G491&lt;0,H491&lt;0,G491&gt;E491*F491)),"Check sale amounts","OK")))</x:f>
      </x:c>
      <x:c r="K491" s="35" t="str">
        <x:f>IF(J491="","",IF(J491&lt;&gt;"OK","Fix row",IF(C491="Sale",E491*F491-G491,0)))</x:f>
      </x:c>
      <x:c r="L491" s="35" t="str">
        <x:f>IF(J491="","",IF(J491&lt;&gt;"OK","Fix row",IF(C491="Sale",K491-E491*H491,0)))</x:f>
      </x:c>
    </x:row>
    <x:row r="492" ht="27" customHeight="1">
      <x:c r="A492" s="40"/>
      <x:c r="B492" s="41"/>
      <x:c r="C492" s="41"/>
      <x:c r="D492" s="41"/>
      <x:c r="E492" s="41"/>
      <x:c r="F492" s="42"/>
      <x:c r="G492" s="42"/>
      <x:c r="H492" s="42"/>
      <x:c r="I492" s="41"/>
      <x:c r="J492" s="37" t="str">
        <x:f>IF(COUNTA(A492:I492)=0,"",IF(OR(NOT(ISNUMBER(A492)),B492="",AND(C492&lt;&gt;"Sale",C492&lt;&gt;"Purchase",C492&lt;&gt;"Adjustment"),COUNTIFS(Products!$A$6:$A$105,D492)&lt;&gt;1,NOT(ISNUMBER(E492)),E492=0,AND(C492&lt;&gt;"Adjustment",E492&lt;0)),"Check inputs",IF(AND(C492="Sale",OR(NOT(ISNUMBER(F492)),NOT(ISNUMBER(G492)),NOT(ISNUMBER(H492)),F492&lt;0,G492&lt;0,H492&lt;0,G492&gt;E492*F492)),"Check sale amounts","OK")))</x:f>
      </x:c>
      <x:c r="K492" s="38" t="str">
        <x:f>IF(J492="","",IF(J492&lt;&gt;"OK","Fix row",IF(C492="Sale",E492*F492-G492,0)))</x:f>
      </x:c>
      <x:c r="L492" s="38" t="str">
        <x:f>IF(J492="","",IF(J492&lt;&gt;"OK","Fix row",IF(C492="Sale",K492-E492*H492,0)))</x:f>
      </x:c>
    </x:row>
    <x:row r="493" ht="27" customHeight="1">
      <x:c r="A493" s="40"/>
      <x:c r="B493" s="41"/>
      <x:c r="C493" s="41"/>
      <x:c r="D493" s="41"/>
      <x:c r="E493" s="41"/>
      <x:c r="F493" s="42"/>
      <x:c r="G493" s="42"/>
      <x:c r="H493" s="42"/>
      <x:c r="I493" s="41"/>
      <x:c r="J493" s="34" t="str">
        <x:f>IF(COUNTA(A493:I493)=0,"",IF(OR(NOT(ISNUMBER(A493)),B493="",AND(C493&lt;&gt;"Sale",C493&lt;&gt;"Purchase",C493&lt;&gt;"Adjustment"),COUNTIFS(Products!$A$6:$A$105,D493)&lt;&gt;1,NOT(ISNUMBER(E493)),E493=0,AND(C493&lt;&gt;"Adjustment",E493&lt;0)),"Check inputs",IF(AND(C493="Sale",OR(NOT(ISNUMBER(F493)),NOT(ISNUMBER(G493)),NOT(ISNUMBER(H493)),F493&lt;0,G493&lt;0,H493&lt;0,G493&gt;E493*F493)),"Check sale amounts","OK")))</x:f>
      </x:c>
      <x:c r="K493" s="35" t="str">
        <x:f>IF(J493="","",IF(J493&lt;&gt;"OK","Fix row",IF(C493="Sale",E493*F493-G493,0)))</x:f>
      </x:c>
      <x:c r="L493" s="35" t="str">
        <x:f>IF(J493="","",IF(J493&lt;&gt;"OK","Fix row",IF(C493="Sale",K493-E493*H493,0)))</x:f>
      </x:c>
    </x:row>
    <x:row r="494" ht="27" customHeight="1">
      <x:c r="A494" s="40"/>
      <x:c r="B494" s="41"/>
      <x:c r="C494" s="41"/>
      <x:c r="D494" s="41"/>
      <x:c r="E494" s="41"/>
      <x:c r="F494" s="42"/>
      <x:c r="G494" s="42"/>
      <x:c r="H494" s="42"/>
      <x:c r="I494" s="41"/>
      <x:c r="J494" s="37" t="str">
        <x:f>IF(COUNTA(A494:I494)=0,"",IF(OR(NOT(ISNUMBER(A494)),B494="",AND(C494&lt;&gt;"Sale",C494&lt;&gt;"Purchase",C494&lt;&gt;"Adjustment"),COUNTIFS(Products!$A$6:$A$105,D494)&lt;&gt;1,NOT(ISNUMBER(E494)),E494=0,AND(C494&lt;&gt;"Adjustment",E494&lt;0)),"Check inputs",IF(AND(C494="Sale",OR(NOT(ISNUMBER(F494)),NOT(ISNUMBER(G494)),NOT(ISNUMBER(H494)),F494&lt;0,G494&lt;0,H494&lt;0,G494&gt;E494*F494)),"Check sale amounts","OK")))</x:f>
      </x:c>
      <x:c r="K494" s="38" t="str">
        <x:f>IF(J494="","",IF(J494&lt;&gt;"OK","Fix row",IF(C494="Sale",E494*F494-G494,0)))</x:f>
      </x:c>
      <x:c r="L494" s="38" t="str">
        <x:f>IF(J494="","",IF(J494&lt;&gt;"OK","Fix row",IF(C494="Sale",K494-E494*H494,0)))</x:f>
      </x:c>
    </x:row>
    <x:row r="495" ht="27" customHeight="1">
      <x:c r="A495" s="40"/>
      <x:c r="B495" s="41"/>
      <x:c r="C495" s="41"/>
      <x:c r="D495" s="41"/>
      <x:c r="E495" s="41"/>
      <x:c r="F495" s="42"/>
      <x:c r="G495" s="42"/>
      <x:c r="H495" s="42"/>
      <x:c r="I495" s="41"/>
      <x:c r="J495" s="34" t="str">
        <x:f>IF(COUNTA(A495:I495)=0,"",IF(OR(NOT(ISNUMBER(A495)),B495="",AND(C495&lt;&gt;"Sale",C495&lt;&gt;"Purchase",C495&lt;&gt;"Adjustment"),COUNTIFS(Products!$A$6:$A$105,D495)&lt;&gt;1,NOT(ISNUMBER(E495)),E495=0,AND(C495&lt;&gt;"Adjustment",E495&lt;0)),"Check inputs",IF(AND(C495="Sale",OR(NOT(ISNUMBER(F495)),NOT(ISNUMBER(G495)),NOT(ISNUMBER(H495)),F495&lt;0,G495&lt;0,H495&lt;0,G495&gt;E495*F495)),"Check sale amounts","OK")))</x:f>
      </x:c>
      <x:c r="K495" s="35" t="str">
        <x:f>IF(J495="","",IF(J495&lt;&gt;"OK","Fix row",IF(C495="Sale",E495*F495-G495,0)))</x:f>
      </x:c>
      <x:c r="L495" s="35" t="str">
        <x:f>IF(J495="","",IF(J495&lt;&gt;"OK","Fix row",IF(C495="Sale",K495-E495*H495,0)))</x:f>
      </x:c>
    </x:row>
    <x:row r="496" ht="27" customHeight="1">
      <x:c r="A496" s="40"/>
      <x:c r="B496" s="41"/>
      <x:c r="C496" s="41"/>
      <x:c r="D496" s="41"/>
      <x:c r="E496" s="41"/>
      <x:c r="F496" s="42"/>
      <x:c r="G496" s="42"/>
      <x:c r="H496" s="42"/>
      <x:c r="I496" s="41"/>
      <x:c r="J496" s="37" t="str">
        <x:f>IF(COUNTA(A496:I496)=0,"",IF(OR(NOT(ISNUMBER(A496)),B496="",AND(C496&lt;&gt;"Sale",C496&lt;&gt;"Purchase",C496&lt;&gt;"Adjustment"),COUNTIFS(Products!$A$6:$A$105,D496)&lt;&gt;1,NOT(ISNUMBER(E496)),E496=0,AND(C496&lt;&gt;"Adjustment",E496&lt;0)),"Check inputs",IF(AND(C496="Sale",OR(NOT(ISNUMBER(F496)),NOT(ISNUMBER(G496)),NOT(ISNUMBER(H496)),F496&lt;0,G496&lt;0,H496&lt;0,G496&gt;E496*F496)),"Check sale amounts","OK")))</x:f>
      </x:c>
      <x:c r="K496" s="38" t="str">
        <x:f>IF(J496="","",IF(J496&lt;&gt;"OK","Fix row",IF(C496="Sale",E496*F496-G496,0)))</x:f>
      </x:c>
      <x:c r="L496" s="38" t="str">
        <x:f>IF(J496="","",IF(J496&lt;&gt;"OK","Fix row",IF(C496="Sale",K496-E496*H496,0)))</x:f>
      </x:c>
    </x:row>
    <x:row r="497" ht="27" customHeight="1">
      <x:c r="A497" s="40"/>
      <x:c r="B497" s="41"/>
      <x:c r="C497" s="41"/>
      <x:c r="D497" s="41"/>
      <x:c r="E497" s="41"/>
      <x:c r="F497" s="42"/>
      <x:c r="G497" s="42"/>
      <x:c r="H497" s="42"/>
      <x:c r="I497" s="41"/>
      <x:c r="J497" s="34" t="str">
        <x:f>IF(COUNTA(A497:I497)=0,"",IF(OR(NOT(ISNUMBER(A497)),B497="",AND(C497&lt;&gt;"Sale",C497&lt;&gt;"Purchase",C497&lt;&gt;"Adjustment"),COUNTIFS(Products!$A$6:$A$105,D497)&lt;&gt;1,NOT(ISNUMBER(E497)),E497=0,AND(C497&lt;&gt;"Adjustment",E497&lt;0)),"Check inputs",IF(AND(C497="Sale",OR(NOT(ISNUMBER(F497)),NOT(ISNUMBER(G497)),NOT(ISNUMBER(H497)),F497&lt;0,G497&lt;0,H497&lt;0,G497&gt;E497*F497)),"Check sale amounts","OK")))</x:f>
      </x:c>
      <x:c r="K497" s="35" t="str">
        <x:f>IF(J497="","",IF(J497&lt;&gt;"OK","Fix row",IF(C497="Sale",E497*F497-G497,0)))</x:f>
      </x:c>
      <x:c r="L497" s="35" t="str">
        <x:f>IF(J497="","",IF(J497&lt;&gt;"OK","Fix row",IF(C497="Sale",K497-E497*H497,0)))</x:f>
      </x:c>
    </x:row>
    <x:row r="498" ht="27" customHeight="1">
      <x:c r="A498" s="40"/>
      <x:c r="B498" s="41"/>
      <x:c r="C498" s="41"/>
      <x:c r="D498" s="41"/>
      <x:c r="E498" s="41"/>
      <x:c r="F498" s="42"/>
      <x:c r="G498" s="42"/>
      <x:c r="H498" s="42"/>
      <x:c r="I498" s="41"/>
      <x:c r="J498" s="37" t="str">
        <x:f>IF(COUNTA(A498:I498)=0,"",IF(OR(NOT(ISNUMBER(A498)),B498="",AND(C498&lt;&gt;"Sale",C498&lt;&gt;"Purchase",C498&lt;&gt;"Adjustment"),COUNTIFS(Products!$A$6:$A$105,D498)&lt;&gt;1,NOT(ISNUMBER(E498)),E498=0,AND(C498&lt;&gt;"Adjustment",E498&lt;0)),"Check inputs",IF(AND(C498="Sale",OR(NOT(ISNUMBER(F498)),NOT(ISNUMBER(G498)),NOT(ISNUMBER(H498)),F498&lt;0,G498&lt;0,H498&lt;0,G498&gt;E498*F498)),"Check sale amounts","OK")))</x:f>
      </x:c>
      <x:c r="K498" s="38" t="str">
        <x:f>IF(J498="","",IF(J498&lt;&gt;"OK","Fix row",IF(C498="Sale",E498*F498-G498,0)))</x:f>
      </x:c>
      <x:c r="L498" s="38" t="str">
        <x:f>IF(J498="","",IF(J498&lt;&gt;"OK","Fix row",IF(C498="Sale",K498-E498*H498,0)))</x:f>
      </x:c>
    </x:row>
    <x:row r="499" ht="27" customHeight="1">
      <x:c r="A499" s="40"/>
      <x:c r="B499" s="41"/>
      <x:c r="C499" s="41"/>
      <x:c r="D499" s="41"/>
      <x:c r="E499" s="41"/>
      <x:c r="F499" s="42"/>
      <x:c r="G499" s="42"/>
      <x:c r="H499" s="42"/>
      <x:c r="I499" s="41"/>
      <x:c r="J499" s="34" t="str">
        <x:f>IF(COUNTA(A499:I499)=0,"",IF(OR(NOT(ISNUMBER(A499)),B499="",AND(C499&lt;&gt;"Sale",C499&lt;&gt;"Purchase",C499&lt;&gt;"Adjustment"),COUNTIFS(Products!$A$6:$A$105,D499)&lt;&gt;1,NOT(ISNUMBER(E499)),E499=0,AND(C499&lt;&gt;"Adjustment",E499&lt;0)),"Check inputs",IF(AND(C499="Sale",OR(NOT(ISNUMBER(F499)),NOT(ISNUMBER(G499)),NOT(ISNUMBER(H499)),F499&lt;0,G499&lt;0,H499&lt;0,G499&gt;E499*F499)),"Check sale amounts","OK")))</x:f>
      </x:c>
      <x:c r="K499" s="35" t="str">
        <x:f>IF(J499="","",IF(J499&lt;&gt;"OK","Fix row",IF(C499="Sale",E499*F499-G499,0)))</x:f>
      </x:c>
      <x:c r="L499" s="35" t="str">
        <x:f>IF(J499="","",IF(J499&lt;&gt;"OK","Fix row",IF(C499="Sale",K499-E499*H499,0)))</x:f>
      </x:c>
    </x:row>
    <x:row r="500" ht="27" customHeight="1">
      <x:c r="A500" s="40"/>
      <x:c r="B500" s="41"/>
      <x:c r="C500" s="41"/>
      <x:c r="D500" s="41"/>
      <x:c r="E500" s="41"/>
      <x:c r="F500" s="42"/>
      <x:c r="G500" s="42"/>
      <x:c r="H500" s="42"/>
      <x:c r="I500" s="41"/>
      <x:c r="J500" s="37" t="str">
        <x:f>IF(COUNTA(A500:I500)=0,"",IF(OR(NOT(ISNUMBER(A500)),B500="",AND(C500&lt;&gt;"Sale",C500&lt;&gt;"Purchase",C500&lt;&gt;"Adjustment"),COUNTIFS(Products!$A$6:$A$105,D500)&lt;&gt;1,NOT(ISNUMBER(E500)),E500=0,AND(C500&lt;&gt;"Adjustment",E500&lt;0)),"Check inputs",IF(AND(C500="Sale",OR(NOT(ISNUMBER(F500)),NOT(ISNUMBER(G500)),NOT(ISNUMBER(H500)),F500&lt;0,G500&lt;0,H500&lt;0,G500&gt;E500*F500)),"Check sale amounts","OK")))</x:f>
      </x:c>
      <x:c r="K500" s="38" t="str">
        <x:f>IF(J500="","",IF(J500&lt;&gt;"OK","Fix row",IF(C500="Sale",E500*F500-G500,0)))</x:f>
      </x:c>
      <x:c r="L500" s="38" t="str">
        <x:f>IF(J500="","",IF(J500&lt;&gt;"OK","Fix row",IF(C500="Sale",K500-E500*H500,0)))</x:f>
      </x:c>
    </x:row>
    <x:row r="501" ht="27" customHeight="1">
      <x:c r="A501" s="40"/>
      <x:c r="B501" s="41"/>
      <x:c r="C501" s="41"/>
      <x:c r="D501" s="41"/>
      <x:c r="E501" s="41"/>
      <x:c r="F501" s="42"/>
      <x:c r="G501" s="42"/>
      <x:c r="H501" s="42"/>
      <x:c r="I501" s="41"/>
      <x:c r="J501" s="34" t="str">
        <x:f>IF(COUNTA(A501:I501)=0,"",IF(OR(NOT(ISNUMBER(A501)),B501="",AND(C501&lt;&gt;"Sale",C501&lt;&gt;"Purchase",C501&lt;&gt;"Adjustment"),COUNTIFS(Products!$A$6:$A$105,D501)&lt;&gt;1,NOT(ISNUMBER(E501)),E501=0,AND(C501&lt;&gt;"Adjustment",E501&lt;0)),"Check inputs",IF(AND(C501="Sale",OR(NOT(ISNUMBER(F501)),NOT(ISNUMBER(G501)),NOT(ISNUMBER(H501)),F501&lt;0,G501&lt;0,H501&lt;0,G501&gt;E501*F501)),"Check sale amounts","OK")))</x:f>
      </x:c>
      <x:c r="K501" s="35" t="str">
        <x:f>IF(J501="","",IF(J501&lt;&gt;"OK","Fix row",IF(C501="Sale",E501*F501-G501,0)))</x:f>
      </x:c>
      <x:c r="L501" s="35" t="str">
        <x:f>IF(J501="","",IF(J501&lt;&gt;"OK","Fix row",IF(C501="Sale",K501-E501*H501,0)))</x:f>
      </x:c>
    </x:row>
    <x:row r="502" ht="27" customHeight="1">
      <x:c r="A502" s="40"/>
      <x:c r="B502" s="41"/>
      <x:c r="C502" s="41"/>
      <x:c r="D502" s="41"/>
      <x:c r="E502" s="41"/>
      <x:c r="F502" s="42"/>
      <x:c r="G502" s="42"/>
      <x:c r="H502" s="42"/>
      <x:c r="I502" s="41"/>
      <x:c r="J502" s="37" t="str">
        <x:f>IF(COUNTA(A502:I502)=0,"",IF(OR(NOT(ISNUMBER(A502)),B502="",AND(C502&lt;&gt;"Sale",C502&lt;&gt;"Purchase",C502&lt;&gt;"Adjustment"),COUNTIFS(Products!$A$6:$A$105,D502)&lt;&gt;1,NOT(ISNUMBER(E502)),E502=0,AND(C502&lt;&gt;"Adjustment",E502&lt;0)),"Check inputs",IF(AND(C502="Sale",OR(NOT(ISNUMBER(F502)),NOT(ISNUMBER(G502)),NOT(ISNUMBER(H502)),F502&lt;0,G502&lt;0,H502&lt;0,G502&gt;E502*F502)),"Check sale amounts","OK")))</x:f>
      </x:c>
      <x:c r="K502" s="38" t="str">
        <x:f>IF(J502="","",IF(J502&lt;&gt;"OK","Fix row",IF(C502="Sale",E502*F502-G502,0)))</x:f>
      </x:c>
      <x:c r="L502" s="38" t="str">
        <x:f>IF(J502="","",IF(J502&lt;&gt;"OK","Fix row",IF(C502="Sale",K502-E502*H502,0)))</x:f>
      </x:c>
    </x:row>
    <x:row r="503" ht="27" customHeight="1">
      <x:c r="A503" s="40"/>
      <x:c r="B503" s="41"/>
      <x:c r="C503" s="41"/>
      <x:c r="D503" s="41"/>
      <x:c r="E503" s="41"/>
      <x:c r="F503" s="42"/>
      <x:c r="G503" s="42"/>
      <x:c r="H503" s="42"/>
      <x:c r="I503" s="41"/>
      <x:c r="J503" s="34" t="str">
        <x:f>IF(COUNTA(A503:I503)=0,"",IF(OR(NOT(ISNUMBER(A503)),B503="",AND(C503&lt;&gt;"Sale",C503&lt;&gt;"Purchase",C503&lt;&gt;"Adjustment"),COUNTIFS(Products!$A$6:$A$105,D503)&lt;&gt;1,NOT(ISNUMBER(E503)),E503=0,AND(C503&lt;&gt;"Adjustment",E503&lt;0)),"Check inputs",IF(AND(C503="Sale",OR(NOT(ISNUMBER(F503)),NOT(ISNUMBER(G503)),NOT(ISNUMBER(H503)),F503&lt;0,G503&lt;0,H503&lt;0,G503&gt;E503*F503)),"Check sale amounts","OK")))</x:f>
      </x:c>
      <x:c r="K503" s="35" t="str">
        <x:f>IF(J503="","",IF(J503&lt;&gt;"OK","Fix row",IF(C503="Sale",E503*F503-G503,0)))</x:f>
      </x:c>
      <x:c r="L503" s="35" t="str">
        <x:f>IF(J503="","",IF(J503&lt;&gt;"OK","Fix row",IF(C503="Sale",K503-E503*H503,0)))</x:f>
      </x:c>
    </x:row>
    <x:row r="504" ht="27" customHeight="1">
      <x:c r="A504" s="40"/>
      <x:c r="B504" s="41"/>
      <x:c r="C504" s="41"/>
      <x:c r="D504" s="41"/>
      <x:c r="E504" s="41"/>
      <x:c r="F504" s="42"/>
      <x:c r="G504" s="42"/>
      <x:c r="H504" s="42"/>
      <x:c r="I504" s="41"/>
      <x:c r="J504" s="37" t="str">
        <x:f>IF(COUNTA(A504:I504)=0,"",IF(OR(NOT(ISNUMBER(A504)),B504="",AND(C504&lt;&gt;"Sale",C504&lt;&gt;"Purchase",C504&lt;&gt;"Adjustment"),COUNTIFS(Products!$A$6:$A$105,D504)&lt;&gt;1,NOT(ISNUMBER(E504)),E504=0,AND(C504&lt;&gt;"Adjustment",E504&lt;0)),"Check inputs",IF(AND(C504="Sale",OR(NOT(ISNUMBER(F504)),NOT(ISNUMBER(G504)),NOT(ISNUMBER(H504)),F504&lt;0,G504&lt;0,H504&lt;0,G504&gt;E504*F504)),"Check sale amounts","OK")))</x:f>
      </x:c>
      <x:c r="K504" s="38" t="str">
        <x:f>IF(J504="","",IF(J504&lt;&gt;"OK","Fix row",IF(C504="Sale",E504*F504-G504,0)))</x:f>
      </x:c>
      <x:c r="L504" s="38" t="str">
        <x:f>IF(J504="","",IF(J504&lt;&gt;"OK","Fix row",IF(C504="Sale",K504-E504*H504,0)))</x:f>
      </x:c>
    </x:row>
    <x:row r="505" ht="27" customHeight="1">
      <x:c r="A505" s="40"/>
      <x:c r="B505" s="41"/>
      <x:c r="C505" s="41"/>
      <x:c r="D505" s="41"/>
      <x:c r="E505" s="41"/>
      <x:c r="F505" s="42"/>
      <x:c r="G505" s="42"/>
      <x:c r="H505" s="42"/>
      <x:c r="I505" s="41"/>
      <x:c r="J505" s="34" t="str">
        <x:f>IF(COUNTA(A505:I505)=0,"",IF(OR(NOT(ISNUMBER(A505)),B505="",AND(C505&lt;&gt;"Sale",C505&lt;&gt;"Purchase",C505&lt;&gt;"Adjustment"),COUNTIFS(Products!$A$6:$A$105,D505)&lt;&gt;1,NOT(ISNUMBER(E505)),E505=0,AND(C505&lt;&gt;"Adjustment",E505&lt;0)),"Check inputs",IF(AND(C505="Sale",OR(NOT(ISNUMBER(F505)),NOT(ISNUMBER(G505)),NOT(ISNUMBER(H505)),F505&lt;0,G505&lt;0,H505&lt;0,G505&gt;E505*F505)),"Check sale amounts","OK")))</x:f>
      </x:c>
      <x:c r="K505" s="35" t="str">
        <x:f>IF(J505="","",IF(J505&lt;&gt;"OK","Fix row",IF(C505="Sale",E505*F505-G505,0)))</x:f>
      </x:c>
      <x:c r="L505" s="35" t="str">
        <x:f>IF(J505="","",IF(J505&lt;&gt;"OK","Fix row",IF(C505="Sale",K505-E505*H505,0)))</x:f>
      </x:c>
    </x:row>
  </x:sheetData>
  <x:conditionalFormatting sqref="J6:J505">
    <x:cfRule type="containsText" dxfId="3" priority="1" operator="containsText" text="Check"/>
  </x:conditionalFormatting>
  <x:dataValidations count="2">
    <x:dataValidation type="list" sqref="C6:C505">
      <x:formula1>"Sale,Purchase,Adjustment"</x:formula1>
    </x:dataValidation>
    <x:dataValidation type="list" sqref="D6:D505">
      <x:formula1>Products!$A$6:$A$105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b35b2485c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23" customHeight="1">
      <x:c r="A1" s="130"/>
      <x:c r="B1" s="130"/>
    </x:row>
    <x:row r="2" ht="23" customHeight="1">
      <x:c r="A2" s="131" t="str">
        <x:v>How to use your tracker</x:v>
      </x:c>
      <x:c r="B2" s="130"/>
    </x:row>
    <x:row r="3" ht="23" customHeight="1">
      <x:c r="A3" s="130"/>
      <x:c r="B3" s="130"/>
    </x:row>
    <x:row r="4" ht="23" customHeight="1">
      <x:c r="A4" s="1"/>
      <x:c r="B4" s="1"/>
    </x:row>
    <x:row r="5" ht="40" customHeight="1">
      <x:c r="A5" s="135" t="str">
        <x:v>1. Save a copy</x:v>
      </x:c>
      <x:c r="B5" s="72" t="str">
        <x:v>Keep an untouched master and a separate file for your business.</x:v>
      </x:c>
    </x:row>
    <x:row r="6" ht="40" customHeight="1">
      <x:c r="A6" s="135" t="str">
        <x:v>2. Remove demo inputs</x:v>
      </x:c>
      <x:c r="B6" s="73" t="str">
        <x:v>Clear Products A6:F11 and Transactions A6:I15 only. Keep calculated columns.</x:v>
      </x:c>
    </x:row>
    <x:row r="7" ht="40" customHeight="1">
      <x:c r="A7" s="135" t="str">
        <x:v>3. Add your products</x:v>
      </x:c>
      <x:c r="B7" s="72" t="str">
        <x:v>Use Products rows 6-105. Each size/colour needs a unique SKU. Enter opening stock once.</x:v>
      </x:c>
    </x:row>
    <x:row r="8" ht="40" customHeight="1">
      <x:c r="A8" s="135" t="str">
        <x:v>4. Record transactions</x:v>
      </x:c>
      <x:c r="B8" s="73" t="str">
        <x:v>Use Transactions rows 6-505. One row per product line, even if an order has several items.</x:v>
      </x:c>
    </x:row>
    <x:row r="9" ht="40" customHeight="1">
      <x:c r="A9" s="135" t="str">
        <x:v>Sale</x:v>
      </x:c>
      <x:c r="B9" s="72" t="str">
        <x:v>Enter date, reference, SKU, positive units, unit selling price, total line discount and unit cost.</x:v>
      </x:c>
    </x:row>
    <x:row r="10" ht="40" customHeight="1">
      <x:c r="A10" s="135" t="str">
        <x:v>Purchase</x:v>
      </x:c>
      <x:c r="B10" s="73" t="str">
        <x:v>Record received stock with positive units. Enter zero for price/discount where unused.</x:v>
      </x:c>
    </x:row>
    <x:row r="11" ht="40" customHeight="1">
      <x:c r="A11" s="135" t="str">
        <x:v>Adjustment</x:v>
      </x:c>
      <x:c r="B11" s="72" t="str">
        <x:v>Use signed units: positive adds stock, negative removes it. Record the reason in Notes.</x:v>
      </x:c>
    </x:row>
    <x:row r="12" ht="40" customHeight="1">
      <x:c r="A12" s="135" t="str">
        <x:v>Historical costs</x:v>
      </x:c>
      <x:c r="B12" s="73" t="str">
        <x:v>Enter each sale cost manually. Changing catalogue cost does not change earlier sale profit.</x:v>
      </x:c>
    </x:row>
    <x:row r="13" ht="40" customHeight="1">
      <x:c r="A13" s="135" t="str">
        <x:v>Gross profit</x:v>
      </x:c>
      <x:c r="B13" s="72" t="str">
        <x:v>Net sales less units sold multiplied by sale unit cost. Excludes overheads, tax and selling fees.</x:v>
      </x:c>
    </x:row>
    <x:row r="14" ht="40" customHeight="1">
      <x:c r="A14" s="135" t="str">
        <x:v>Stock valuation</x:v>
      </x:c>
      <x:c r="B14" s="73" t="str">
        <x:v>Remaining units multiplied by current catalogue cost. This is a simplified estimate, not FIFO.</x:v>
      </x:c>
    </x:row>
    <x:row r="15" ht="40" customHeight="1">
      <x:c r="A15" s="135" t="str">
        <x:v>Dates and year</x:v>
      </x:c>
      <x:c r="B15" s="72" t="str">
        <x:v>Enter real Excel dates. Change Dashboard B4 for another reporting year. Stock remains all-time.</x:v>
      </x:c>
    </x:row>
    <x:row r="16" ht="40" customHeight="1">
      <x:c r="A16" s="135" t="str">
        <x:v>Alerts</x:v>
      </x:c>
      <x:c r="B16" s="73" t="str">
        <x:v>Filter Stock Status for Reorder or Negative stock. Reorder triggers at or below the threshold.</x:v>
      </x:c>
    </x:row>
    <x:row r="17" ht="40" customHeight="1">
      <x:c r="A17" s="135" t="str">
        <x:v>Input errors</x:v>
      </x:c>
      <x:c r="B17" s="72" t="str">
        <x:v>Fix flagged rows and duplicate SKUs. Dashboard totals show Fix inputs until issues are resolved.</x:v>
      </x:c>
    </x:row>
    <x:row r="18" ht="40" customHeight="1">
      <x:c r="A18" s="135" t="str">
        <x:v>Capacity</x:v>
      </x:c>
      <x:c r="B18" s="73" t="str">
        <x:v>100 product variants and 500 transaction lines. All formula and summary ranges cover these rows.</x:v>
      </x:c>
    </x:row>
    <x:row r="19" ht="40" customHeight="1">
      <x:c r="A19" s="135" t="str">
        <x:v>Edit colours</x:v>
      </x:c>
      <x:c r="B19" s="72" t="str">
        <x:v>Amber cells are inputs. Other cells contain calculated outputs or instructions.</x:v>
      </x:c>
    </x:row>
    <x:row r="20" ht="40" customHeight="1">
      <x:c r="A20" s="135" t="str">
        <x:v>Returns</x:v>
      </x:c>
      <x:c r="B20" s="73" t="str">
        <x:v>Not automated. Record stock corrections as Adjustments and handle refunds separately.</x:v>
      </x:c>
    </x:row>
    <x:row r="21" ht="40" customHeight="1">
      <x:c r="A21" s="135" t="str">
        <x:v>Before selling</x:v>
      </x:c>
      <x:c r="B21" s="72" t="str">
        <x:v>Test with your own sample business and Excel version. Do not advertise tax/accounting compliance.</x:v>
      </x:c>
    </x:row>
    <x:row r="22" ht="40" customHeight="1">
      <x:c r="A22" s="135" t="str">
        <x:v>Sample source</x:v>
      </x:c>
      <x:c r="B22" s="73" t="str">
        <x:v>All included products, transactions and amounts are fictional demonstration data.</x:v>
      </x:c>
    </x:row>
    <x:row r="23" ht="23" customHeight="1">
      <x:c r="A23" s="1"/>
      <x:c r="B23" s="1"/>
    </x:row>
    <x:row r="24" ht="23" customHeight="1">
      <x:c r="A24" s="1"/>
      <x:c r="B24" s="1"/>
    </x:row>
    <x:row r="25" ht="23" customHeight="1">
      <x:c r="A25" s="1"/>
      <x:c r="B25" s="1"/>
    </x:row>
    <x:row r="26" ht="23" customHeight="1">
      <x:c r="A26" s="1"/>
      <x:c r="B26" s="1"/>
    </x:row>
    <x:row r="27" ht="23" customHeight="1">
      <x:c r="A27" s="1"/>
      <x:c r="B27" s="1"/>
    </x:row>
    <x:row r="28" ht="23" customHeight="1">
      <x:c r="A28" s="1"/>
      <x:c r="B28" s="1"/>
    </x:row>
    <x:row r="29" ht="23" customHeight="1">
      <x:c r="A29" s="1"/>
      <x:c r="B29" s="1"/>
    </x:row>
    <x:row r="30" ht="23" customHeight="1">
      <x:c r="A30" s="1"/>
      <x:c r="B30" s="1"/>
    </x:row>
    <x:row r="31" ht="23" customHeight="1">
      <x:c r="A31" s="1"/>
      <x:c r="B31" s="1"/>
    </x:row>
    <x:row r="32" ht="23" customHeight="1">
      <x:c r="A32" s="1"/>
      <x:c r="B32" s="1"/>
    </x:row>
    <x:row r="33" ht="23" customHeight="1">
      <x:c r="A33" s="1"/>
      <x:c r="B33" s="1"/>
    </x:row>
    <x:row r="34" ht="23" customHeight="1">
      <x:c r="A34" s="1"/>
      <x:c r="B34" s="1"/>
    </x:row>
    <x:row r="35" ht="23" customHeight="1">
      <x:c r="A35" s="1"/>
      <x:c r="B35" s="1"/>
    </x:row>
    <x:row r="36" ht="23" customHeight="1">
      <x:c r="A36" s="1"/>
      <x:c r="B36" s="1"/>
    </x:row>
    <x:row r="37" ht="23" customHeight="1">
      <x:c r="A37" s="1"/>
      <x:c r="B37" s="1"/>
    </x:row>
    <x:row r="38" ht="23" customHeight="1">
      <x:c r="A38" s="1"/>
      <x:c r="B38" s="1"/>
    </x:row>
    <x:row r="39" ht="23" customHeight="1">
      <x:c r="A39" s="1"/>
      <x:c r="B39" s="1"/>
    </x:row>
    <x:row r="40" ht="23" customHeight="1">
      <x:c r="A40" s="1"/>
      <x:c r="B40" s="1"/>
    </x:row>
    <x:row r="41" ht="23" customHeight="1">
      <x:c r="A41" s="1"/>
      <x:c r="B41" s="1"/>
    </x:row>
    <x:row r="42" ht="23" customHeight="1">
      <x:c r="A42" s="1"/>
      <x:c r="B42" s="1"/>
    </x:row>
    <x:row r="43" ht="23" customHeight="1">
      <x:c r="A43" s="1"/>
      <x:c r="B43" s="1"/>
    </x:row>
    <x:row r="44" ht="23" customHeight="1">
      <x:c r="A44" s="1"/>
      <x:c r="B44" s="1"/>
    </x:row>
    <x:row r="45" ht="23" customHeight="1">
      <x:c r="A45" s="1"/>
      <x:c r="B45" s="1"/>
    </x:row>
    <x:row r="46" ht="23" customHeight="1">
      <x:c r="A46" s="1"/>
      <x:c r="B46" s="1"/>
    </x:row>
    <x:row r="47" ht="23" customHeight="1">
      <x:c r="A47" s="1"/>
      <x:c r="B47" s="1"/>
    </x:row>
    <x:row r="48" ht="23" customHeight="1">
      <x:c r="A48" s="1"/>
      <x:c r="B48" s="1"/>
    </x:row>
    <x:row r="49" ht="23" customHeight="1">
      <x:c r="A49" s="1"/>
      <x:c r="B49" s="1"/>
    </x:row>
    <x:row r="50" ht="23" customHeight="1">
      <x:c r="A50" s="1"/>
      <x:c r="B50" s="1"/>
    </x:row>
    <x:row r="51" ht="23" customHeight="1">
      <x:c r="A51" s="1"/>
      <x:c r="B51" s="1"/>
    </x:row>
    <x:row r="52" ht="23" customHeight="1">
      <x:c r="A52" s="1"/>
      <x:c r="B52" s="1"/>
    </x:row>
    <x:row r="53" ht="23" customHeight="1">
      <x:c r="A53" s="1"/>
      <x:c r="B53" s="1"/>
    </x:row>
    <x:row r="54" ht="23" customHeight="1">
      <x:c r="A54" s="1"/>
      <x:c r="B54" s="1"/>
    </x:row>
    <x:row r="55" ht="23" customHeight="1">
      <x:c r="A55" s="1"/>
      <x:c r="B55" s="1"/>
    </x:row>
    <x:row r="56" ht="23" customHeight="1">
      <x:c r="A56" s="1"/>
      <x:c r="B56" s="1"/>
    </x:row>
    <x:row r="57" ht="23" customHeight="1">
      <x:c r="A57" s="1"/>
      <x:c r="B57" s="1"/>
    </x:row>
    <x:row r="58" ht="23" customHeight="1">
      <x:c r="A58" s="1"/>
      <x:c r="B58" s="1"/>
    </x:row>
    <x:row r="59" ht="23" customHeight="1">
      <x:c r="A59" s="1"/>
      <x:c r="B59" s="1"/>
    </x:row>
    <x:row r="60" ht="23" customHeight="1">
      <x:c r="A60" s="1"/>
      <x:c r="B60" s="1"/>
    </x:row>
    <x:row r="61" ht="23" customHeight="1">
      <x:c r="A61" s="1"/>
      <x:c r="B61" s="1"/>
    </x:row>
    <x:row r="62" ht="23" customHeight="1">
      <x:c r="A62" s="1"/>
      <x:c r="B62" s="1"/>
    </x:row>
    <x:row r="63" ht="23" customHeight="1">
      <x:c r="A63" s="1"/>
      <x:c r="B63" s="1"/>
    </x:row>
    <x:row r="64" ht="23" customHeight="1">
      <x:c r="A64" s="1"/>
      <x:c r="B64" s="1"/>
    </x:row>
    <x:row r="65" ht="23" customHeight="1">
      <x:c r="A65" s="1"/>
      <x:c r="B65" s="1"/>
    </x:row>
    <x:row r="66" ht="23" customHeight="1">
      <x:c r="A66" s="1"/>
      <x:c r="B66" s="1"/>
    </x:row>
    <x:row r="67" ht="23" customHeight="1">
      <x:c r="A67" s="1"/>
      <x:c r="B67" s="1"/>
    </x:row>
    <x:row r="68" ht="23" customHeight="1">
      <x:c r="A68" s="1"/>
      <x:c r="B68" s="1"/>
    </x:row>
    <x:row r="69" ht="23" customHeight="1">
      <x:c r="A69" s="1"/>
      <x:c r="B69" s="1"/>
    </x:row>
    <x:row r="70" ht="23" customHeight="1">
      <x:c r="A70" s="1"/>
      <x:c r="B70" s="1"/>
    </x:row>
    <x:row r="71" ht="23" customHeight="1">
      <x:c r="A71" s="1"/>
      <x:c r="B71" s="1"/>
    </x:row>
    <x:row r="72" ht="23" customHeight="1">
      <x:c r="A72" s="1"/>
      <x:c r="B72" s="1"/>
    </x:row>
    <x:row r="73" ht="23" customHeight="1">
      <x:c r="A73" s="1"/>
      <x:c r="B73" s="1"/>
    </x:row>
    <x:row r="74" ht="23" customHeight="1">
      <x:c r="A74" s="1"/>
      <x:c r="B74" s="1"/>
    </x:row>
    <x:row r="75" ht="23" customHeight="1">
      <x:c r="A75" s="1"/>
      <x:c r="B75" s="1"/>
    </x:row>
    <x:row r="76" ht="23" customHeight="1">
      <x:c r="A76" s="1"/>
      <x:c r="B76" s="1"/>
    </x:row>
    <x:row r="77" ht="23" customHeight="1">
      <x:c r="A77" s="1"/>
      <x:c r="B77" s="1"/>
    </x:row>
    <x:row r="78" ht="23" customHeight="1">
      <x:c r="A78" s="1"/>
      <x:c r="B78" s="1"/>
    </x:row>
    <x:row r="79" ht="23" customHeight="1">
      <x:c r="A79" s="1"/>
      <x:c r="B79" s="1"/>
    </x:row>
    <x:row r="80" ht="23" customHeight="1">
      <x:c r="A80" s="1"/>
      <x:c r="B80" s="1"/>
    </x:row>
    <x:row r="81" ht="23" customHeight="1">
      <x:c r="A81" s="1"/>
      <x:c r="B81" s="1"/>
    </x:row>
    <x:row r="82" ht="23" customHeight="1">
      <x:c r="A82" s="1"/>
      <x:c r="B82" s="1"/>
    </x:row>
    <x:row r="83" ht="23" customHeight="1">
      <x:c r="A83" s="1"/>
      <x:c r="B83" s="1"/>
    </x:row>
    <x:row r="84" ht="23" customHeight="1">
      <x:c r="A84" s="1"/>
      <x:c r="B84" s="1"/>
    </x:row>
    <x:row r="85" ht="23" customHeight="1">
      <x:c r="A85" s="1"/>
      <x:c r="B85" s="1"/>
    </x:row>
    <x:row r="86" ht="23" customHeight="1">
      <x:c r="A86" s="1"/>
      <x:c r="B86" s="1"/>
    </x:row>
    <x:row r="87" ht="23" customHeight="1">
      <x:c r="A87" s="1"/>
      <x:c r="B87" s="1"/>
    </x:row>
    <x:row r="88" ht="23" customHeight="1">
      <x:c r="A88" s="1"/>
      <x:c r="B88" s="1"/>
    </x:row>
    <x:row r="89" ht="23" customHeight="1">
      <x:c r="A89" s="1"/>
      <x:c r="B89" s="1"/>
    </x:row>
    <x:row r="90" ht="23" customHeight="1">
      <x:c r="A90" s="1"/>
      <x:c r="B90" s="1"/>
    </x:row>
    <x:row r="91" ht="23" customHeight="1">
      <x:c r="A91" s="1"/>
      <x:c r="B91" s="1"/>
    </x:row>
    <x:row r="92" ht="23" customHeight="1">
      <x:c r="A92" s="1"/>
      <x:c r="B92" s="1"/>
    </x:row>
    <x:row r="93" ht="23" customHeight="1">
      <x:c r="A93" s="1"/>
      <x:c r="B93" s="1"/>
    </x:row>
    <x:row r="94" ht="23" customHeight="1">
      <x:c r="A94" s="1"/>
      <x:c r="B94" s="1"/>
    </x:row>
    <x:row r="95" ht="23" customHeight="1">
      <x:c r="A95" s="1"/>
      <x:c r="B95" s="1"/>
    </x:row>
    <x:row r="96" ht="23" customHeight="1">
      <x:c r="A96" s="1"/>
      <x:c r="B96" s="1"/>
    </x:row>
    <x:row r="97" ht="23" customHeight="1">
      <x:c r="A97" s="1"/>
      <x:c r="B97" s="1"/>
    </x:row>
    <x:row r="98" ht="23" customHeight="1">
      <x:c r="A98" s="1"/>
      <x:c r="B98" s="1"/>
    </x:row>
    <x:row r="99" ht="23" customHeight="1">
      <x:c r="A99" s="1"/>
      <x:c r="B99" s="1"/>
    </x:row>
    <x:row r="100" ht="23" customHeight="1">
      <x:c r="A100" s="1"/>
      <x:c r="B100" s="1"/>
    </x:row>
    <x:row r="101" ht="23" customHeight="1">
      <x:c r="A101" s="1"/>
      <x:c r="B101" s="1"/>
    </x:row>
    <x:row r="102" ht="23" customHeight="1">
      <x:c r="A102" s="1"/>
      <x:c r="B102" s="1"/>
    </x:row>
    <x:row r="103" ht="23" customHeight="1">
      <x:c r="A103" s="1"/>
      <x:c r="B103" s="1"/>
    </x:row>
    <x:row r="104" ht="23" customHeight="1">
      <x:c r="A104" s="1"/>
      <x:c r="B104" s="1"/>
    </x:row>
    <x:row r="105" ht="23" customHeight="1">
      <x:c r="A105" s="1"/>
      <x:c r="B105" s="1"/>
    </x:row>
    <x:row r="106" ht="23" customHeight="1">
      <x:c r="A106" s="1"/>
      <x:c r="B106" s="1"/>
    </x:row>
    <x:row r="107" ht="23" customHeight="1">
      <x:c r="A107" s="1"/>
      <x:c r="B107" s="1"/>
    </x:row>
    <x:row r="108" ht="23" customHeight="1">
      <x:c r="A108" s="1"/>
      <x:c r="B108" s="1"/>
    </x:row>
    <x:row r="109" ht="23" customHeight="1">
      <x:c r="A109" s="1"/>
      <x:c r="B109" s="1"/>
    </x:row>
    <x:row r="110" ht="23" customHeight="1">
      <x:c r="A110" s="1"/>
      <x:c r="B110" s="1"/>
    </x:row>
  </x:sheetData>
  <x:pageMargins left="0.7" right="0.7" top="0.75" bottom="0.75" header="0.3" footer="0.3"/>
</x:worksheet>
</file>